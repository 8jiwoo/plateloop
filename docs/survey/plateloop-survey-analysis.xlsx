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8jiwo\Downloads\plateloop\docs\survey\"/>
    </mc:Choice>
  </mc:AlternateContent>
  <xr:revisionPtr revIDLastSave="0" documentId="13_ncr:1_{CC11ED4F-C306-4294-81FE-8C7E52D2CF9F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Dashboard" sheetId="1" r:id="rId1"/>
    <sheet name="Key findings" sheetId="2" r:id="rId2"/>
    <sheet name="Students" sheetId="3" r:id="rId3"/>
    <sheet name="Kitchen" sheetId="4" r:id="rId4"/>
    <sheet name="Hospital" sheetId="5" r:id="rId5"/>
    <sheet name="Office" sheetId="6" r:id="rId6"/>
    <sheet name="Students_Data" sheetId="7" r:id="rId7"/>
    <sheet name="Kitchen_Data" sheetId="8" r:id="rId8"/>
    <sheet name="Hospital_Data" sheetId="9" r:id="rId9"/>
    <sheet name="Office_Data" sheetId="10" r:id="rId10"/>
    <sheet name="Questionnaires" sheetId="11" r:id="rId11"/>
    <sheet name="About" sheetId="12" r:id="rId12"/>
  </sheets>
  <definedNames>
    <definedName name="_xlnm._FilterDatabase" localSheetId="8" hidden="1">Hospital_Data!$A$1:$K$7</definedName>
    <definedName name="_xlnm._FilterDatabase" localSheetId="7" hidden="1">Kitchen_Data!$A$1:$L$9</definedName>
    <definedName name="_xlnm._FilterDatabase" localSheetId="9" hidden="1">Office_Data!$A$1:$K$7</definedName>
    <definedName name="_xlnm._FilterDatabase" localSheetId="6" hidden="1">Students_Data!$A$1:$L$31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9" i="6" l="1"/>
  <c r="H59" i="6" s="1"/>
  <c r="F59" i="6"/>
  <c r="G58" i="6"/>
  <c r="H58" i="6" s="1"/>
  <c r="F58" i="6"/>
  <c r="H53" i="6"/>
  <c r="F53" i="6"/>
  <c r="D53" i="6"/>
  <c r="B53" i="6"/>
  <c r="E49" i="6"/>
  <c r="E48" i="6"/>
  <c r="E47" i="6"/>
  <c r="F47" i="6" s="1"/>
  <c r="E42" i="6"/>
  <c r="E41" i="6"/>
  <c r="E40" i="6"/>
  <c r="F40" i="6" s="1"/>
  <c r="E16" i="2" s="1"/>
  <c r="E35" i="6"/>
  <c r="F35" i="6" s="1"/>
  <c r="G35" i="6" s="1"/>
  <c r="E34" i="6"/>
  <c r="E33" i="6"/>
  <c r="E32" i="6"/>
  <c r="E31" i="6"/>
  <c r="E26" i="6"/>
  <c r="E25" i="6"/>
  <c r="E24" i="6"/>
  <c r="E23" i="6"/>
  <c r="E22" i="6"/>
  <c r="H17" i="6"/>
  <c r="F17" i="6"/>
  <c r="D17" i="6"/>
  <c r="B17" i="6"/>
  <c r="E13" i="6"/>
  <c r="E12" i="6"/>
  <c r="E11" i="6"/>
  <c r="E10" i="6"/>
  <c r="B2" i="6"/>
  <c r="G55" i="5"/>
  <c r="H55" i="5" s="1"/>
  <c r="F55" i="5"/>
  <c r="G54" i="5"/>
  <c r="H54" i="5" s="1"/>
  <c r="F54" i="5"/>
  <c r="G53" i="5"/>
  <c r="F53" i="5"/>
  <c r="E48" i="5"/>
  <c r="E47" i="5"/>
  <c r="E46" i="5"/>
  <c r="F46" i="5" s="1"/>
  <c r="G46" i="5" s="1"/>
  <c r="E41" i="5"/>
  <c r="E40" i="5"/>
  <c r="E39" i="5"/>
  <c r="E38" i="5"/>
  <c r="E37" i="5"/>
  <c r="E32" i="5"/>
  <c r="E31" i="5"/>
  <c r="E30" i="5"/>
  <c r="F30" i="5" s="1"/>
  <c r="G30" i="5" s="1"/>
  <c r="E29" i="5"/>
  <c r="H24" i="5"/>
  <c r="F24" i="5"/>
  <c r="D24" i="5"/>
  <c r="B24" i="5"/>
  <c r="E4" i="5" s="1"/>
  <c r="E20" i="5"/>
  <c r="E19" i="5"/>
  <c r="E18" i="5"/>
  <c r="F18" i="5" s="1"/>
  <c r="G18" i="5" s="1"/>
  <c r="E17" i="5"/>
  <c r="F17" i="5" s="1"/>
  <c r="G17" i="5" s="1"/>
  <c r="E12" i="5"/>
  <c r="F12" i="5" s="1"/>
  <c r="G12" i="5" s="1"/>
  <c r="E11" i="5"/>
  <c r="E10" i="5"/>
  <c r="K4" i="5"/>
  <c r="B2" i="5"/>
  <c r="G52" i="4"/>
  <c r="H52" i="4" s="1"/>
  <c r="F52" i="4"/>
  <c r="G51" i="4"/>
  <c r="H51" i="4" s="1"/>
  <c r="F51" i="4"/>
  <c r="G50" i="4"/>
  <c r="K4" i="4" s="1"/>
  <c r="F50" i="4"/>
  <c r="G49" i="4"/>
  <c r="H49" i="4" s="1"/>
  <c r="F49" i="4"/>
  <c r="H44" i="4"/>
  <c r="F44" i="4"/>
  <c r="D44" i="4"/>
  <c r="B44" i="4"/>
  <c r="E40" i="4"/>
  <c r="E39" i="4"/>
  <c r="E38" i="4"/>
  <c r="E37" i="4"/>
  <c r="E36" i="4"/>
  <c r="F36" i="4" s="1"/>
  <c r="G36" i="4" s="1"/>
  <c r="E31" i="4"/>
  <c r="E30" i="4"/>
  <c r="E29" i="4"/>
  <c r="F29" i="4" s="1"/>
  <c r="H24" i="4"/>
  <c r="F24" i="4"/>
  <c r="D24" i="4"/>
  <c r="B24" i="4"/>
  <c r="F20" i="4"/>
  <c r="G20" i="4" s="1"/>
  <c r="E20" i="4"/>
  <c r="E19" i="4"/>
  <c r="F19" i="4" s="1"/>
  <c r="G19" i="4" s="1"/>
  <c r="E18" i="4"/>
  <c r="F17" i="4"/>
  <c r="E17" i="4"/>
  <c r="E12" i="4"/>
  <c r="E11" i="4"/>
  <c r="E10" i="4"/>
  <c r="F10" i="4" s="1"/>
  <c r="G10" i="4" s="1"/>
  <c r="B2" i="4"/>
  <c r="G59" i="3"/>
  <c r="C8" i="2" s="1"/>
  <c r="D8" i="2" s="1"/>
  <c r="F59" i="3"/>
  <c r="G58" i="3"/>
  <c r="H58" i="3" s="1"/>
  <c r="F58" i="3"/>
  <c r="G57" i="3"/>
  <c r="E7" i="2" s="1"/>
  <c r="F57" i="3"/>
  <c r="G56" i="3"/>
  <c r="H56" i="3" s="1"/>
  <c r="F56" i="3"/>
  <c r="E51" i="3"/>
  <c r="E50" i="3"/>
  <c r="E49" i="3"/>
  <c r="E48" i="3"/>
  <c r="E43" i="3"/>
  <c r="E42" i="3"/>
  <c r="E41" i="3"/>
  <c r="F41" i="3" s="1"/>
  <c r="G41" i="3" s="1"/>
  <c r="E36" i="3"/>
  <c r="E35" i="3"/>
  <c r="E34" i="3"/>
  <c r="E29" i="3"/>
  <c r="E28" i="3"/>
  <c r="E27" i="3"/>
  <c r="E26" i="3"/>
  <c r="E25" i="3"/>
  <c r="E20" i="3"/>
  <c r="E19" i="3"/>
  <c r="E18" i="3"/>
  <c r="E17" i="3"/>
  <c r="E16" i="3"/>
  <c r="E11" i="3"/>
  <c r="E10" i="3"/>
  <c r="F10" i="3" s="1"/>
  <c r="G10" i="3" s="1"/>
  <c r="K4" i="3"/>
  <c r="B2" i="3"/>
  <c r="C17" i="2"/>
  <c r="D17" i="2" s="1"/>
  <c r="E11" i="2"/>
  <c r="C11" i="2"/>
  <c r="D11" i="2" s="1"/>
  <c r="E8" i="2"/>
  <c r="C7" i="2"/>
  <c r="D7" i="2" s="1"/>
  <c r="B34" i="1"/>
  <c r="K10" i="1"/>
  <c r="N4" i="1"/>
  <c r="K4" i="1"/>
  <c r="H4" i="1"/>
  <c r="E4" i="1"/>
  <c r="B4" i="1"/>
  <c r="E4" i="4" l="1"/>
  <c r="E18" i="1"/>
  <c r="F34" i="6"/>
  <c r="G34" i="6" s="1"/>
  <c r="F34" i="3"/>
  <c r="F42" i="6"/>
  <c r="G42" i="6" s="1"/>
  <c r="H59" i="3"/>
  <c r="F48" i="6"/>
  <c r="K4" i="6" s="1"/>
  <c r="F31" i="4"/>
  <c r="G31" i="4" s="1"/>
  <c r="F43" i="3"/>
  <c r="G43" i="3" s="1"/>
  <c r="F18" i="3"/>
  <c r="G18" i="3" s="1"/>
  <c r="F12" i="4"/>
  <c r="G12" i="4" s="1"/>
  <c r="F22" i="6"/>
  <c r="G22" i="6" s="1"/>
  <c r="F37" i="5"/>
  <c r="G37" i="5" s="1"/>
  <c r="F19" i="5"/>
  <c r="G19" i="5" s="1"/>
  <c r="F20" i="5"/>
  <c r="G20" i="5" s="1"/>
  <c r="F42" i="3"/>
  <c r="G42" i="3" s="1"/>
  <c r="F11" i="3"/>
  <c r="G11" i="3" s="1"/>
  <c r="F50" i="3"/>
  <c r="G50" i="3" s="1"/>
  <c r="F37" i="4"/>
  <c r="G37" i="4" s="1"/>
  <c r="F24" i="6"/>
  <c r="G24" i="6" s="1"/>
  <c r="F47" i="5"/>
  <c r="G47" i="5" s="1"/>
  <c r="K18" i="1"/>
  <c r="F29" i="5"/>
  <c r="H26" i="1" s="1"/>
  <c r="F25" i="6"/>
  <c r="G25" i="6" s="1"/>
  <c r="F41" i="6"/>
  <c r="G41" i="6" s="1"/>
  <c r="E26" i="1"/>
  <c r="F19" i="3"/>
  <c r="G19" i="3" s="1"/>
  <c r="F18" i="4"/>
  <c r="B4" i="4" s="1"/>
  <c r="F26" i="6"/>
  <c r="G26" i="6" s="1"/>
  <c r="F11" i="4"/>
  <c r="G11" i="4" s="1"/>
  <c r="F20" i="3"/>
  <c r="G20" i="3" s="1"/>
  <c r="F31" i="6"/>
  <c r="G31" i="6" s="1"/>
  <c r="F30" i="4"/>
  <c r="G30" i="4" s="1"/>
  <c r="F49" i="6"/>
  <c r="G49" i="6" s="1"/>
  <c r="F11" i="5"/>
  <c r="G11" i="5" s="1"/>
  <c r="F31" i="5"/>
  <c r="G31" i="5" s="1"/>
  <c r="F32" i="6"/>
  <c r="G32" i="6" s="1"/>
  <c r="H50" i="4"/>
  <c r="F48" i="5"/>
  <c r="G48" i="5" s="1"/>
  <c r="F26" i="3"/>
  <c r="G26" i="3" s="1"/>
  <c r="F32" i="5"/>
  <c r="G32" i="5" s="1"/>
  <c r="B4" i="6"/>
  <c r="F33" i="6"/>
  <c r="G33" i="6" s="1"/>
  <c r="E15" i="2"/>
  <c r="C15" i="2"/>
  <c r="D15" i="2" s="1"/>
  <c r="E4" i="6"/>
  <c r="E34" i="1"/>
  <c r="F27" i="3"/>
  <c r="G27" i="3" s="1"/>
  <c r="F12" i="6"/>
  <c r="G12" i="6" s="1"/>
  <c r="F41" i="5"/>
  <c r="G41" i="5" s="1"/>
  <c r="C16" i="2"/>
  <c r="D16" i="2" s="1"/>
  <c r="G40" i="6"/>
  <c r="H4" i="6"/>
  <c r="H34" i="1"/>
  <c r="G34" i="3"/>
  <c r="F38" i="4"/>
  <c r="G38" i="4" s="1"/>
  <c r="G47" i="6"/>
  <c r="E17" i="2"/>
  <c r="F10" i="6"/>
  <c r="G10" i="6" s="1"/>
  <c r="F11" i="6"/>
  <c r="G11" i="6" s="1"/>
  <c r="F40" i="5"/>
  <c r="G40" i="5" s="1"/>
  <c r="F13" i="6"/>
  <c r="G13" i="6" s="1"/>
  <c r="F29" i="3"/>
  <c r="G29" i="3" s="1"/>
  <c r="H57" i="3"/>
  <c r="C13" i="2"/>
  <c r="D13" i="2" s="1"/>
  <c r="G29" i="5"/>
  <c r="K34" i="1"/>
  <c r="G48" i="6"/>
  <c r="F40" i="4"/>
  <c r="G40" i="4" s="1"/>
  <c r="H4" i="5"/>
  <c r="B26" i="1"/>
  <c r="E12" i="2"/>
  <c r="B4" i="5"/>
  <c r="C12" i="2"/>
  <c r="D12" i="2" s="1"/>
  <c r="H53" i="5"/>
  <c r="F36" i="3"/>
  <c r="G36" i="3" s="1"/>
  <c r="F51" i="3"/>
  <c r="G51" i="3" s="1"/>
  <c r="F28" i="3"/>
  <c r="G28" i="3" s="1"/>
  <c r="F39" i="4"/>
  <c r="G39" i="4" s="1"/>
  <c r="F16" i="3"/>
  <c r="G16" i="3" s="1"/>
  <c r="F35" i="3"/>
  <c r="G35" i="3" s="1"/>
  <c r="F17" i="3"/>
  <c r="G17" i="3" s="1"/>
  <c r="E10" i="2"/>
  <c r="C10" i="2"/>
  <c r="D10" i="2" s="1"/>
  <c r="H4" i="4"/>
  <c r="H18" i="1"/>
  <c r="F39" i="5"/>
  <c r="G39" i="5" s="1"/>
  <c r="F38" i="5"/>
  <c r="G38" i="5" s="1"/>
  <c r="F48" i="3"/>
  <c r="F25" i="3"/>
  <c r="F49" i="3"/>
  <c r="G49" i="3" s="1"/>
  <c r="G17" i="4"/>
  <c r="G29" i="4"/>
  <c r="F10" i="5"/>
  <c r="G10" i="5" s="1"/>
  <c r="K26" i="1"/>
  <c r="E14" i="2"/>
  <c r="F23" i="6"/>
  <c r="G23" i="6" s="1"/>
  <c r="C14" i="2"/>
  <c r="D14" i="2" s="1"/>
  <c r="C9" i="2" l="1"/>
  <c r="D9" i="2" s="1"/>
  <c r="E9" i="2"/>
  <c r="E13" i="2"/>
  <c r="G18" i="4"/>
  <c r="B18" i="1"/>
  <c r="B4" i="3"/>
  <c r="E10" i="1"/>
  <c r="C5" i="2"/>
  <c r="D5" i="2" s="1"/>
  <c r="B10" i="1"/>
  <c r="E4" i="3"/>
  <c r="G25" i="3"/>
  <c r="E6" i="2"/>
  <c r="H4" i="3"/>
  <c r="H10" i="1"/>
  <c r="G48" i="3"/>
  <c r="C6" i="2"/>
  <c r="D6" i="2" s="1"/>
  <c r="E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PlateLoop</author>
  </authors>
  <commentList>
    <comment ref="G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1 = Strongly disagree, 5 = Strongly agree</t>
        </r>
      </text>
    </comment>
    <comment ref="I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1 = Strongly disagree, 5 = Strongly agree</t>
        </r>
      </text>
    </comment>
    <comment ref="J1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1 = Strongly disagree, 5 = Strongly agree</t>
        </r>
      </text>
    </comment>
    <comment ref="K1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1 = Strongly disagree, 5 = Strongly agree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PlateLoop</author>
  </authors>
  <commentList>
    <comment ref="G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1 = Not useful, 5 = Very useful</t>
        </r>
      </text>
    </comment>
    <comment ref="H1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1 = Not useful, 5 = Very useful</t>
        </r>
      </text>
    </comment>
    <comment ref="I1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1 = Not useful, 5 = Very useful</t>
        </r>
      </text>
    </comment>
    <comment ref="K1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1 = Strongly disagree, 5 = Strongly agree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PlateLoop</author>
  </authors>
  <commentList>
    <comment ref="D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1 = Strongly disagree, 5 = Strongly agree</t>
        </r>
      </text>
    </comment>
    <comment ref="H1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1 = Not useful, 5 = Very useful</t>
        </r>
      </text>
    </comment>
    <comment ref="I1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1 = Not useful, 5 = Very useful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PlateLoop</author>
  </authors>
  <commentList>
    <comment ref="E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1 = Strongly disagree, 5 = Strongly agree</t>
        </r>
      </text>
    </comment>
    <comment ref="H1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1 = Not useful, 5 = Very useful</t>
        </r>
      </text>
    </comment>
  </commentList>
</comments>
</file>

<file path=xl/sharedStrings.xml><?xml version="1.0" encoding="utf-8"?>
<sst xmlns="http://schemas.openxmlformats.org/spreadsheetml/2006/main" count="943" uniqueCount="398">
  <si>
    <t>PlateLoop survey · results at a glance</t>
  </si>
  <si>
    <t>responses in total</t>
  </si>
  <si>
    <t>Students</t>
  </si>
  <si>
    <t>Kitchen staff</t>
  </si>
  <si>
    <t>Hospital staff</t>
  </si>
  <si>
    <t>Office workers</t>
  </si>
  <si>
    <t xml:space="preserve">  Students</t>
  </si>
  <si>
    <t>Main reason for leaving food</t>
  </si>
  <si>
    <t>top reason for leaving food</t>
  </si>
  <si>
    <t>chose that reason</t>
  </si>
  <si>
    <t>prefer food groups to calories</t>
  </si>
  <si>
    <t>interest in the Loopi pet (out of 5)</t>
  </si>
  <si>
    <t>→ Loopi: rewards the right portion, shows food groups instead of calories, and the pet gives students a reason to scan.</t>
  </si>
  <si>
    <t xml:space="preserve">  Kitchen staff</t>
  </si>
  <si>
    <t>How quantities are decided</t>
  </si>
  <si>
    <t>plan by experience or headcount</t>
  </si>
  <si>
    <t>know which dishes come back</t>
  </si>
  <si>
    <t>of cooked food thrown away (estimate)</t>
  </si>
  <si>
    <t>want waste shown by dish</t>
  </si>
  <si>
    <t>→ Kitchen dashboard: shows waste by dish and suggests tomorrow’s order from what was eaten, with no forms to fill in.</t>
  </si>
  <si>
    <t xml:space="preserve">  Hospital staff</t>
  </si>
  <si>
    <t>When a poor eater is noticed</t>
  </si>
  <si>
    <t>trust their intake records</t>
  </si>
  <si>
    <t>minutes a shift on intake records</t>
  </si>
  <si>
    <t>poor eaters noticed the same day</t>
  </si>
  <si>
    <t>want automatic intake records</t>
  </si>
  <si>
    <t>→ Loopi Care: records every tray automatically and alerts nurses the same day a patient eats poorly.</t>
  </si>
  <si>
    <t xml:space="preserve">  Office workers</t>
  </si>
  <si>
    <t>Share meal data with employer?</t>
  </si>
  <si>
    <t>know the nutrients in their lunch</t>
  </si>
  <si>
    <t>afternoon energy dip often or daily</t>
  </si>
  <si>
    <t>would pre-order to skip the queue</t>
  </si>
  <si>
    <t>want meal data private or anonymous</t>
  </si>
  <si>
    <t>→ Loopi Work: shows the nutrients in each lunch, offers pre-ordering, and keeps meal data private by default.</t>
  </si>
  <si>
    <t>Key findings</t>
  </si>
  <si>
    <t>Calculated live from the responses.</t>
  </si>
  <si>
    <t>Group</t>
  </si>
  <si>
    <t>Headline</t>
  </si>
  <si>
    <t>What the survey shows</t>
  </si>
  <si>
    <t>What PlateLoop does about it</t>
  </si>
  <si>
    <t>The before scan and right-portion rewards in Loopi: a small plate finished counts fully.</t>
  </si>
  <si>
    <t>Loopi shows food groups by default; calories stay optional.</t>
  </si>
  <si>
    <t>The Loopi pet as the reason students scan.</t>
  </si>
  <si>
    <t>Keep the class-and-number alternative; face sign-in stays optional.</t>
  </si>
  <si>
    <t>Kitchen dashboard: waste by dish and a forecast from real eating data.</t>
  </si>
  <si>
    <t>A suggested order for tomorrow saves planning time and cuts over-preparation.</t>
  </si>
  <si>
    <t>Measurement is automatic: no forms or manual entry for kitchen staff.</t>
  </si>
  <si>
    <t>Loopi Care records every tray automatically.</t>
  </si>
  <si>
    <t>Nurse-station alerts after poor meals, the same day.</t>
  </si>
  <si>
    <t>Loopi Care: per-tray intake and patient meal choice.</t>
  </si>
  <si>
    <t>Loopi Work: nutrients per lunch and a 3 pm energy check-in.</t>
  </si>
  <si>
    <t>Pre-ordering in Loopi Work; kitchens cook to orders.</t>
  </si>
  <si>
    <t>Private by default: employers see team totals, never names.</t>
  </si>
  <si>
    <t>S1  ·  Which are you?</t>
  </si>
  <si>
    <t>Answer</t>
  </si>
  <si>
    <t>People</t>
  </si>
  <si>
    <t>Share</t>
  </si>
  <si>
    <t>Secondary school</t>
  </si>
  <si>
    <t>University</t>
  </si>
  <si>
    <t>S2  ·  How often do you leave food on your tray?</t>
  </si>
  <si>
    <t>Never</t>
  </si>
  <si>
    <t>Rarely</t>
  </si>
  <si>
    <t>Sometimes</t>
  </si>
  <si>
    <t>Often</t>
  </si>
  <si>
    <t>Almost always</t>
  </si>
  <si>
    <t>S3  ·  What is the main reason you leave food?</t>
  </si>
  <si>
    <t>Portion too big</t>
  </si>
  <si>
    <t>Don’t like the taste</t>
  </si>
  <si>
    <t>Not hungry</t>
  </si>
  <si>
    <t>Ran out of time</t>
  </si>
  <si>
    <t>Didn’t recognise the dish</t>
  </si>
  <si>
    <t>S4  ·  Would you take a smaller portion if you could ask for one easily?</t>
  </si>
  <si>
    <t>Yes</t>
  </si>
  <si>
    <t>Maybe</t>
  </si>
  <si>
    <t>No</t>
  </si>
  <si>
    <t>S5  ·  Are you told to finish everything on your plate?</t>
  </si>
  <si>
    <t>S7  ·  Which would you rather see about your lunch?</t>
  </si>
  <si>
    <t>Food groups</t>
  </si>
  <si>
    <t>Calories</t>
  </si>
  <si>
    <t>Both</t>
  </si>
  <si>
    <t>Neither</t>
  </si>
  <si>
    <t>Scale questions  ·  1 = disagree / not useful, 5 = agree / very useful</t>
  </si>
  <si>
    <t>Statement</t>
  </si>
  <si>
    <t>Average</t>
  </si>
  <si>
    <t>Agree (4–5)</t>
  </si>
  <si>
    <t>S6  I would like to see what I ate at lunch (food groups and nutrients).</t>
  </si>
  <si>
    <t>S8  I would scan my tray before and after lunch if it fed a virtual pet.</t>
  </si>
  <si>
    <t>S9  A weekly class competition on food waste would motivate me.</t>
  </si>
  <si>
    <t>S10  I would be comfortable signing in to a scanner with my face.</t>
  </si>
  <si>
    <t>K1  ·  What is your role?</t>
  </si>
  <si>
    <t>Canteen operator</t>
  </si>
  <si>
    <t>Cook</t>
  </si>
  <si>
    <t>Kitchen assistant</t>
  </si>
  <si>
    <t>K2  ·  How do you mainly decide how much to cook each day?</t>
  </si>
  <si>
    <t>Past experience</t>
  </si>
  <si>
    <t>Headcount × standard portion</t>
  </si>
  <si>
    <t>Previous day’s leftovers</t>
  </si>
  <si>
    <t>Written records</t>
  </si>
  <si>
    <t>K3  ·  Roughly what percentage of the food you cook is thrown away on a typical day?</t>
  </si>
  <si>
    <t>Median</t>
  </si>
  <si>
    <t>Lowest</t>
  </si>
  <si>
    <t>Highest</t>
  </si>
  <si>
    <t>K4  ·  Do you know which dishes come back on trays most?</t>
  </si>
  <si>
    <t>Yes, accurately</t>
  </si>
  <si>
    <t>Roughly</t>
  </si>
  <si>
    <t>K5  ·  How often do you prepare more food than is eaten?</t>
  </si>
  <si>
    <t>Weekly</t>
  </si>
  <si>
    <t>Several times a week</t>
  </si>
  <si>
    <t>Daily</t>
  </si>
  <si>
    <t>K9  ·  How many minutes a day do you spend planning orders and quantities?</t>
  </si>
  <si>
    <t>K6  A suggested order for tomorrow, based on what was eaten, would be useful.</t>
  </si>
  <si>
    <t>K7  Seeing waste broken down by dish would be useful.</t>
  </si>
  <si>
    <t>K8  A monthly carbon report would be useful.</t>
  </si>
  <si>
    <t>K10  I am worried a new system would add to my workload.</t>
  </si>
  <si>
    <t>H1  ·  What is your role?</t>
  </si>
  <si>
    <t>Nurse</t>
  </si>
  <si>
    <t>Dietitian</t>
  </si>
  <si>
    <t>Ward manager</t>
  </si>
  <si>
    <t>H2  ·  How is patients’ food intake mainly tracked on your ward?</t>
  </si>
  <si>
    <t>Food charts</t>
  </si>
  <si>
    <t>Visual estimate</t>
  </si>
  <si>
    <t>Patient report</t>
  </si>
  <si>
    <t>Not tracked</t>
  </si>
  <si>
    <t>H4  ·  How many minutes per shift do you spend documenting food intake?</t>
  </si>
  <si>
    <t>H5  ·  How quickly is a patient who stops eating usually noticed?</t>
  </si>
  <si>
    <t>Same day</t>
  </si>
  <si>
    <t>After 2–3 days</t>
  </si>
  <si>
    <t>After 4+ days</t>
  </si>
  <si>
    <t>Often missed</t>
  </si>
  <si>
    <t>H6  ·  What is the most common reason patients leave food?</t>
  </si>
  <si>
    <t>Poor appetite</t>
  </si>
  <si>
    <t>Taste</t>
  </si>
  <si>
    <t>Too tired</t>
  </si>
  <si>
    <t>Pain or nausea</t>
  </si>
  <si>
    <t>H9  ·  Would patients benefit from choosing their next day’s meals and portion size?</t>
  </si>
  <si>
    <t>H3  I am confident our intake records are accurate.</t>
  </si>
  <si>
    <t>H7  Automatic intake records for every tray would be useful.</t>
  </si>
  <si>
    <t>H8  An alert that includes the patient’s reason for not eating would be useful.</t>
  </si>
  <si>
    <t>O1  ·  Your age group</t>
  </si>
  <si>
    <t>20–29</t>
  </si>
  <si>
    <t>30–39</t>
  </si>
  <si>
    <t>40–49</t>
  </si>
  <si>
    <t>50+</t>
  </si>
  <si>
    <t>O2  ·  How many days a week do you eat at the office canteen?</t>
  </si>
  <si>
    <t>O3  ·  Do you have a health goal for your meals?</t>
  </si>
  <si>
    <t>Lose weight</t>
  </si>
  <si>
    <t>Build muscle</t>
  </si>
  <si>
    <t>Steady energy</t>
  </si>
  <si>
    <t>Eat balanced</t>
  </si>
  <si>
    <t>None</t>
  </si>
  <si>
    <t>O5  ·  How often do you feel an energy dip in the afternoon?</t>
  </si>
  <si>
    <t>O6  ·  Would you pre-order lunch to skip the queue?</t>
  </si>
  <si>
    <t>O8  ·  Would you share your meal data with your employer?</t>
  </si>
  <si>
    <t>Only anonymous totals</t>
  </si>
  <si>
    <t>O9  ·  How many minutes do you usually queue at lunch?</t>
  </si>
  <si>
    <t>O4  I know the nutrients in my canteen lunch.</t>
  </si>
  <si>
    <t>O7  A daily lunch suggestion for my health goal would be useful.</t>
  </si>
  <si>
    <t>ID</t>
  </si>
  <si>
    <t>S1  Which are you?</t>
  </si>
  <si>
    <t>S2  How often do you leave food on your tray?</t>
  </si>
  <si>
    <t>S3  What is the main reason you leave food?</t>
  </si>
  <si>
    <t>S4  Would you take a smaller portion if you could ask for one easily?</t>
  </si>
  <si>
    <t>S5  Are you told to finish everything on your plate?</t>
  </si>
  <si>
    <t>S6  I would like to see what I ate at lunch (food groups and nutrients).  (1–5)</t>
  </si>
  <si>
    <t>S7  Which would you rather see about your lunch?</t>
  </si>
  <si>
    <t>S8  I would scan my tray before and after lunch if it fed a virtual pet.  (1–5)</t>
  </si>
  <si>
    <t>S9  A weekly class competition on food waste would motivate me.  (1–5)</t>
  </si>
  <si>
    <t>S10  I would be comfortable signing in to a scanner with my face.  (1–5)</t>
  </si>
  <si>
    <t>S11  Anything else about lunch or food waste at your canteen?</t>
  </si>
  <si>
    <t>S001</t>
  </si>
  <si>
    <t>I don’t want my name on a leaderboard.</t>
  </si>
  <si>
    <t>S002</t>
  </si>
  <si>
    <t>I would scan my tray if it gave me points.</t>
  </si>
  <si>
    <t>S003</t>
  </si>
  <si>
    <t>I prefer not to use face scanning.</t>
  </si>
  <si>
    <t>S004</t>
  </si>
  <si>
    <t>More choice for vegetarians.</t>
  </si>
  <si>
    <t>S005</t>
  </si>
  <si>
    <t>S006</t>
  </si>
  <si>
    <t>The canteen throws away so much food at the end of the day.</t>
  </si>
  <si>
    <t>S007</t>
  </si>
  <si>
    <t>Being told to finish everything makes me feel bad.</t>
  </si>
  <si>
    <t>S008</t>
  </si>
  <si>
    <t>Friends would compete if there was a class leaderboard.</t>
  </si>
  <si>
    <t>S009</t>
  </si>
  <si>
    <t>Lunch is too rushed, I only get 20 minutes.</t>
  </si>
  <si>
    <t>S010</t>
  </si>
  <si>
    <t>Queues are too long so I rush my food.</t>
  </si>
  <si>
    <t>S011</t>
  </si>
  <si>
    <t>Sometimes I don’t know what the dish is.</t>
  </si>
  <si>
    <t>S012</t>
  </si>
  <si>
    <t>Smaller portions should cost less.</t>
  </si>
  <si>
    <t>S013</t>
  </si>
  <si>
    <t>S014</t>
  </si>
  <si>
    <t>More fruit options please.</t>
  </si>
  <si>
    <t>S015</t>
  </si>
  <si>
    <t>The rice portion is always too big for me.</t>
  </si>
  <si>
    <t>S016</t>
  </si>
  <si>
    <t>S017</t>
  </si>
  <si>
    <t>S018</t>
  </si>
  <si>
    <t>A pet game would be fun if it is not too childish.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</si>
  <si>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</si>
  <si>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</si>
  <si>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</si>
  <si>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</si>
  <si>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</si>
  <si>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</si>
  <si>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</si>
  <si>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</si>
  <si>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</si>
  <si>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</si>
  <si>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</si>
  <si>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</si>
  <si>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K1  What is your role?</t>
  </si>
  <si>
    <t>K2  How do you mainly decide how much to cook each day?</t>
  </si>
  <si>
    <t>K3  Roughly what percentage of the food you cook is thrown away on a typical day?</t>
  </si>
  <si>
    <t>K4  Do you know which dishes come back on trays most?</t>
  </si>
  <si>
    <t>K5  How often do you prepare more food than is eaten?</t>
  </si>
  <si>
    <t>K6  A suggested order for tomorrow, based on what was eaten, would be useful.  (1–5)</t>
  </si>
  <si>
    <t>K7  Seeing waste broken down by dish would be useful.  (1–5)</t>
  </si>
  <si>
    <t>K8  A monthly carbon report would be useful.  (1–5)</t>
  </si>
  <si>
    <t>K9  How many minutes a day do you spend planning orders and quantities?</t>
  </si>
  <si>
    <t>K10  I am worried a new system would add to my workload.  (1–5)</t>
  </si>
  <si>
    <t>K11  Anything else?</t>
  </si>
  <si>
    <t>K001</t>
  </si>
  <si>
    <t>A simple screen would be better than an app.</t>
  </si>
  <si>
    <t>K002</t>
  </si>
  <si>
    <t>If it saves money the boss will like it.</t>
  </si>
  <si>
    <t>K003</t>
  </si>
  <si>
    <t>K004</t>
  </si>
  <si>
    <t>We cook the same amount every day regardless of attendance.</t>
  </si>
  <si>
    <t>K005</t>
  </si>
  <si>
    <t>K006</t>
  </si>
  <si>
    <t>I don’t have time to fill in forms.</t>
  </si>
  <si>
    <t>K007</t>
  </si>
  <si>
    <t>K008</t>
  </si>
  <si>
    <t>H1  What is your role?</t>
  </si>
  <si>
    <t>H2  How is patients’ food intake mainly tracked on your ward?</t>
  </si>
  <si>
    <t>H3  I am confident our intake records are accurate.  (1–5)</t>
  </si>
  <si>
    <t>H4  How many minutes per shift do you spend documenting food intake?</t>
  </si>
  <si>
    <t>H5  How quickly is a patient who stops eating usually noticed?</t>
  </si>
  <si>
    <t>H6  What is the most common reason patients leave food?</t>
  </si>
  <si>
    <t>H7  Automatic intake records for every tray would be useful.  (1–5)</t>
  </si>
  <si>
    <t>H8  An alert that includes the patient’s reason for not eating would be useful.  (1–5)</t>
  </si>
  <si>
    <t>H9  Would patients benefit from choosing their next day’s meals and portion size?</t>
  </si>
  <si>
    <t>H10  Anything else?</t>
  </si>
  <si>
    <t>H001</t>
  </si>
  <si>
    <t>Patients would like more choice.</t>
  </si>
  <si>
    <t>H002</t>
  </si>
  <si>
    <t>Night staff don’t see what was eaten at lunch.</t>
  </si>
  <si>
    <t>H003</t>
  </si>
  <si>
    <t>H004</t>
  </si>
  <si>
    <t>Elderly patients often leave most of their tray.</t>
  </si>
  <si>
    <t>H005</t>
  </si>
  <si>
    <t>We need to know protein intake for wound healing.</t>
  </si>
  <si>
    <t>H006</t>
  </si>
  <si>
    <t>O1  Your age group</t>
  </si>
  <si>
    <t>O2  How many days a week do you eat at the office canteen?</t>
  </si>
  <si>
    <t>O3  Do you have a health goal for your meals?</t>
  </si>
  <si>
    <t>O4  I know the nutrients in my canteen lunch.  (1–5)</t>
  </si>
  <si>
    <t>O5  How often do you feel an energy dip in the afternoon?</t>
  </si>
  <si>
    <t>O6  Would you pre-order lunch to skip the queue?</t>
  </si>
  <si>
    <t>O7  A daily lunch suggestion for my health goal would be useful.  (1–5)</t>
  </si>
  <si>
    <t>O8  Would you share your meal data with your employer?</t>
  </si>
  <si>
    <t>O9  How many minutes do you usually queue at lunch?</t>
  </si>
  <si>
    <t>O10  Anything else?</t>
  </si>
  <si>
    <t>O001</t>
  </si>
  <si>
    <t>Afternoon slump after noodles.</t>
  </si>
  <si>
    <t>O002</t>
  </si>
  <si>
    <t>O003</t>
  </si>
  <si>
    <t>I get sleepy after the noodles.</t>
  </si>
  <si>
    <t>O004</t>
  </si>
  <si>
    <t>Calorie counts would be nice, optional though.</t>
  </si>
  <si>
    <t>O005</t>
  </si>
  <si>
    <t>I don’t want HR to see what I eat.</t>
  </si>
  <si>
    <t>O006</t>
  </si>
  <si>
    <t>Questionnaires</t>
  </si>
  <si>
    <t>Code</t>
  </si>
  <si>
    <t>Question</t>
  </si>
  <si>
    <t>Type</t>
  </si>
  <si>
    <t>Answers</t>
  </si>
  <si>
    <t>S1</t>
  </si>
  <si>
    <t>Which are you?</t>
  </si>
  <si>
    <t>Single choice</t>
  </si>
  <si>
    <t>Secondary school; University</t>
  </si>
  <si>
    <t>S2</t>
  </si>
  <si>
    <t>How often do you leave food on your tray?</t>
  </si>
  <si>
    <t>Never; Rarely; Sometimes; Often; Almost always</t>
  </si>
  <si>
    <t>S3</t>
  </si>
  <si>
    <t>What is the main reason you leave food?</t>
  </si>
  <si>
    <t>Portion too big; Don’t like the taste; Not hungry; Ran out of time; Didn’t recognise the dish</t>
  </si>
  <si>
    <t>S4</t>
  </si>
  <si>
    <t>Would you take a smaller portion if you could ask for one easily?</t>
  </si>
  <si>
    <t>Yes; Maybe; No</t>
  </si>
  <si>
    <t>S5</t>
  </si>
  <si>
    <t>Are you told to finish everything on your plate?</t>
  </si>
  <si>
    <t>Yes; Sometimes; No</t>
  </si>
  <si>
    <t>S6</t>
  </si>
  <si>
    <t>I would like to see what I ate at lunch (food groups and nutrients).</t>
  </si>
  <si>
    <t>Scale 1–5</t>
  </si>
  <si>
    <t>1 = Strongly disagree … 5 = Strongly agree</t>
  </si>
  <si>
    <t>S7</t>
  </si>
  <si>
    <t>Which would you rather see about your lunch?</t>
  </si>
  <si>
    <t>Food groups; Calories; Both; Neither</t>
  </si>
  <si>
    <t>S8</t>
  </si>
  <si>
    <t>I would scan my tray before and after lunch if it fed a virtual pet.</t>
  </si>
  <si>
    <t>S9</t>
  </si>
  <si>
    <t>A weekly class competition on food waste would motivate me.</t>
  </si>
  <si>
    <t>S10</t>
  </si>
  <si>
    <t>I would be comfortable signing in to a scanner with my face.</t>
  </si>
  <si>
    <t>S11</t>
  </si>
  <si>
    <t>Anything else about lunch or food waste at your canteen?</t>
  </si>
  <si>
    <t>Open</t>
  </si>
  <si>
    <t>Free text</t>
  </si>
  <si>
    <t>K1</t>
  </si>
  <si>
    <t>What is your role?</t>
  </si>
  <si>
    <t>Canteen operator; Cook; Kitchen assistant</t>
  </si>
  <si>
    <t>K2</t>
  </si>
  <si>
    <t>How do you mainly decide how much to cook each day?</t>
  </si>
  <si>
    <t>Past experience; Headcount × standard portion; Previous day’s leftovers; Written records</t>
  </si>
  <si>
    <t>K3</t>
  </si>
  <si>
    <t>Roughly what percentage of the food you cook is thrown away on a typical day?</t>
  </si>
  <si>
    <t>Number</t>
  </si>
  <si>
    <t>K4</t>
  </si>
  <si>
    <t>Do you know which dishes come back on trays most?</t>
  </si>
  <si>
    <t>Yes, accurately; Roughly; No</t>
  </si>
  <si>
    <t>K5</t>
  </si>
  <si>
    <t>How often do you prepare more food than is eaten?</t>
  </si>
  <si>
    <t>Never; Rarely; Weekly; Several times a week; Daily</t>
  </si>
  <si>
    <t>K6</t>
  </si>
  <si>
    <t>A suggested order for tomorrow, based on what was eaten, would be useful.</t>
  </si>
  <si>
    <t>1 = Not useful … 5 = Very useful</t>
  </si>
  <si>
    <t>K7</t>
  </si>
  <si>
    <t>Seeing waste broken down by dish would be useful.</t>
  </si>
  <si>
    <t>K8</t>
  </si>
  <si>
    <t>A monthly carbon report would be useful.</t>
  </si>
  <si>
    <t>K9</t>
  </si>
  <si>
    <t>How many minutes a day do you spend planning orders and quantities?</t>
  </si>
  <si>
    <t>K10</t>
  </si>
  <si>
    <t>I am worried a new system would add to my workload.</t>
  </si>
  <si>
    <t>K11</t>
  </si>
  <si>
    <t>Anything else?</t>
  </si>
  <si>
    <t>H1</t>
  </si>
  <si>
    <t>Nurse; Dietitian; Ward manager</t>
  </si>
  <si>
    <t>H2</t>
  </si>
  <si>
    <t>How is patients’ food intake mainly tracked on your ward?</t>
  </si>
  <si>
    <t>Food charts; Visual estimate; Patient report; Not tracked</t>
  </si>
  <si>
    <t>H3</t>
  </si>
  <si>
    <t>I am confident our intake records are accurate.</t>
  </si>
  <si>
    <t>H4</t>
  </si>
  <si>
    <t>How many minutes per shift do you spend documenting food intake?</t>
  </si>
  <si>
    <t>H5</t>
  </si>
  <si>
    <t>How quickly is a patient who stops eating usually noticed?</t>
  </si>
  <si>
    <t>Same day; After 2–3 days; After 4+ days; Often missed</t>
  </si>
  <si>
    <t>H6</t>
  </si>
  <si>
    <t>What is the most common reason patients leave food?</t>
  </si>
  <si>
    <t>Poor appetite; Taste; Portion too big; Too tired; Pain or nausea</t>
  </si>
  <si>
    <t>H7</t>
  </si>
  <si>
    <t>Automatic intake records for every tray would be useful.</t>
  </si>
  <si>
    <t>H8</t>
  </si>
  <si>
    <t>An alert that includes the patient’s reason for not eating would be useful.</t>
  </si>
  <si>
    <t>H9</t>
  </si>
  <si>
    <t>Would patients benefit from choosing their next day’s meals and portion size?</t>
  </si>
  <si>
    <t>H10</t>
  </si>
  <si>
    <t>O1</t>
  </si>
  <si>
    <t>Your age group</t>
  </si>
  <si>
    <t>20–29; 30–39; 40–49; 50+</t>
  </si>
  <si>
    <t>O2</t>
  </si>
  <si>
    <t>How many days a week do you eat at the office canteen?</t>
  </si>
  <si>
    <t>O3</t>
  </si>
  <si>
    <t>Do you have a health goal for your meals?</t>
  </si>
  <si>
    <t>Lose weight; Build muscle; Steady energy; Eat balanced; None</t>
  </si>
  <si>
    <t>O4</t>
  </si>
  <si>
    <t>I know the nutrients in my canteen lunch.</t>
  </si>
  <si>
    <t>O5</t>
  </si>
  <si>
    <t>How often do you feel an energy dip in the afternoon?</t>
  </si>
  <si>
    <t>Never; Rarely; Sometimes; Often; Daily</t>
  </si>
  <si>
    <t>O6</t>
  </si>
  <si>
    <t>Would you pre-order lunch to skip the queue?</t>
  </si>
  <si>
    <t>O7</t>
  </si>
  <si>
    <t>A daily lunch suggestion for my health goal would be useful.</t>
  </si>
  <si>
    <t>O8</t>
  </si>
  <si>
    <t>Would you share your meal data with your employer?</t>
  </si>
  <si>
    <t>Yes; Only anonymous totals; No</t>
  </si>
  <si>
    <t>O9</t>
  </si>
  <si>
    <t>How many minutes do you usually queue at lunch?</t>
  </si>
  <si>
    <t>O10</t>
  </si>
  <si>
    <t>About this workbook</t>
  </si>
  <si>
    <t>Dashboard</t>
  </si>
  <si>
    <t>Headline numbers and one chart per group.</t>
  </si>
  <si>
    <t>Findings written as live formulas, each matched to a PlateLoop feature.</t>
  </si>
  <si>
    <t>Group sheets</t>
  </si>
  <si>
    <t>Students, Kitchen, Hospital, Office: every question as a table with in-cell bars, plus charts.</t>
  </si>
  <si>
    <t>Data sheets</t>
  </si>
  <si>
    <t>One row per respondent (blue text = input). To add responses, paste them into these tables (same columns, up to row 1000) — every other sheet updates.</t>
  </si>
  <si>
    <t>All questions, codes and answer options. Online version: https://8jiwoo.github.io/plateloop/survey/</t>
  </si>
  <si>
    <t>Scale questions</t>
  </si>
  <si>
    <t>1 = strongly disagree / not useful … 5 = strongly agree / very useful. "Agree" = share answering 4 or 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</si>
</sst>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&quot; /5&quot;"/>
  </numFmts>
  <fonts count="39" x14ac:knownFonts="1">
    <font>
      <sz val="11"/>
      <color theme="1"/>
      <name val="Calibri"/>
      <family val="2"/>
      <scheme val="minor"/>
    </font>
    <font>
      <b/>
      <sz val="9.5"/>
      <color rgb="FFFFFFFF"/>
      <name val="Arial"/>
    </font>
    <font>
      <sz val="10"/>
      <color rgb="FF0000FF"/>
      <name val="Arial"/>
    </font>
    <font>
      <b/>
      <sz val="22"/>
      <color rgb="FF1E7A44"/>
      <name val="Arial"/>
    </font>
    <font>
      <sz val="10"/>
      <color rgb="FF8A938E"/>
      <name val="Arial"/>
    </font>
    <font>
      <b/>
      <sz val="11"/>
      <color rgb="FF1B2420"/>
      <name val="Arial"/>
    </font>
    <font>
      <b/>
      <sz val="9"/>
      <color rgb="FFFFFFFF"/>
      <name val="Arial"/>
    </font>
    <font>
      <sz val="10"/>
      <color rgb="FF1B2420"/>
      <name val="Arial"/>
    </font>
    <font>
      <b/>
      <sz val="10"/>
      <color rgb="FF1E7A44"/>
      <name val="Arial"/>
    </font>
    <font>
      <sz val="9.5"/>
      <color rgb="FF1B2420"/>
      <name val="Arial"/>
    </font>
    <font>
      <b/>
      <sz val="10"/>
      <color rgb="FF1B2420"/>
      <name val="Arial"/>
    </font>
    <font>
      <b/>
      <sz val="22"/>
      <color rgb="FFC2671A"/>
      <name val="Arial"/>
    </font>
    <font>
      <b/>
      <sz val="10"/>
      <color rgb="FFC2671A"/>
      <name val="Arial"/>
    </font>
    <font>
      <b/>
      <sz val="16"/>
      <color rgb="FFC2671A"/>
      <name val="Arial"/>
    </font>
    <font>
      <sz val="9"/>
      <color rgb="FF4E5A54"/>
      <name val="Arial"/>
    </font>
    <font>
      <b/>
      <sz val="22"/>
      <color rgb="FF2A5FB0"/>
      <name val="Arial"/>
    </font>
    <font>
      <b/>
      <sz val="10"/>
      <color rgb="FF2A5FB0"/>
      <name val="Arial"/>
    </font>
    <font>
      <b/>
      <sz val="16"/>
      <color rgb="FF2A5FB0"/>
      <name val="Arial"/>
    </font>
    <font>
      <b/>
      <sz val="22"/>
      <color rgb="FF5145C4"/>
      <name val="Arial"/>
    </font>
    <font>
      <b/>
      <sz val="10"/>
      <color rgb="FF5145C4"/>
      <name val="Arial"/>
    </font>
    <font>
      <b/>
      <sz val="16"/>
      <color rgb="FF5145C4"/>
      <name val="Arial"/>
    </font>
    <font>
      <b/>
      <sz val="13"/>
      <color rgb="FF1E7A44"/>
      <name val="Arial"/>
    </font>
    <font>
      <b/>
      <sz val="26"/>
      <color rgb="FF1E7A44"/>
      <name val="Arial"/>
    </font>
    <font>
      <b/>
      <sz val="26"/>
      <color rgb="FFC2671A"/>
      <name val="Arial"/>
    </font>
    <font>
      <b/>
      <sz val="26"/>
      <color rgb="FF2A5FB0"/>
      <name val="Arial"/>
    </font>
    <font>
      <b/>
      <sz val="26"/>
      <color rgb="FF5145C4"/>
      <name val="Arial"/>
    </font>
    <font>
      <b/>
      <sz val="24"/>
      <color rgb="FF1B2420"/>
      <name val="Arial"/>
    </font>
    <font>
      <b/>
      <sz val="26"/>
      <color rgb="FFFFFFFF"/>
      <name val="Arial"/>
    </font>
    <font>
      <sz val="9"/>
      <color rgb="FFFFFFFF"/>
      <name val="Arial"/>
    </font>
    <font>
      <b/>
      <sz val="14"/>
      <color rgb="FFFFFFFF"/>
      <name val="Arial"/>
    </font>
    <font>
      <b/>
      <sz val="22"/>
      <color rgb="FF1B2420"/>
      <name val="Arial"/>
    </font>
    <font>
      <i/>
      <sz val="9"/>
      <color rgb="FF8A938E"/>
      <name val="Arial"/>
    </font>
    <font>
      <b/>
      <sz val="10"/>
      <color rgb="FFFFFFFF"/>
      <name val="Arial"/>
    </font>
    <font>
      <b/>
      <sz val="18"/>
      <color rgb="FF1E7A44"/>
      <name val="Arial"/>
    </font>
    <font>
      <sz val="10.5"/>
      <color rgb="FF1B2420"/>
      <name val="Arial"/>
    </font>
    <font>
      <b/>
      <sz val="18"/>
      <color rgb="FFC2671A"/>
      <name val="Arial"/>
    </font>
    <font>
      <b/>
      <sz val="18"/>
      <color rgb="FF2A5FB0"/>
      <name val="Arial"/>
    </font>
    <font>
      <b/>
      <sz val="18"/>
      <color rgb="FF5145C4"/>
      <name val="Arial"/>
    </font>
    <font>
      <b/>
      <sz val="20"/>
      <color rgb="FF1B242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E7A44"/>
      </patternFill>
    </fill>
    <fill>
      <patternFill patternType="solid">
        <fgColor rgb="FFF6F7F6"/>
      </patternFill>
    </fill>
    <fill>
      <patternFill patternType="solid">
        <fgColor rgb="FFC2671A"/>
      </patternFill>
    </fill>
    <fill>
      <patternFill patternType="solid">
        <fgColor rgb="FF2A5FB0"/>
      </patternFill>
    </fill>
    <fill>
      <patternFill patternType="solid">
        <fgColor rgb="FF5145C4"/>
      </patternFill>
    </fill>
    <fill>
      <patternFill patternType="solid">
        <fgColor rgb="FFFBEEDF"/>
      </patternFill>
    </fill>
    <fill>
      <patternFill patternType="solid">
        <fgColor rgb="FFE4ECF8"/>
      </patternFill>
    </fill>
    <fill>
      <patternFill patternType="solid">
        <fgColor rgb="FFECEAFA"/>
      </patternFill>
    </fill>
    <fill>
      <patternFill patternType="solid">
        <fgColor rgb="FFE6F4EC"/>
      </patternFill>
    </fill>
    <fill>
      <patternFill patternType="solid">
        <fgColor rgb="FF1B2420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E6E3"/>
      </bottom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6" fillId="2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8" fillId="0" borderId="0" xfId="0" applyFont="1"/>
    <xf numFmtId="0" fontId="12" fillId="0" borderId="0" xfId="0" applyFont="1"/>
    <xf numFmtId="0" fontId="16" fillId="0" borderId="0" xfId="0" applyFont="1"/>
    <xf numFmtId="0" fontId="19" fillId="0" borderId="0" xfId="0" applyFont="1"/>
    <xf numFmtId="0" fontId="32" fillId="11" borderId="0" xfId="0" applyFont="1" applyFill="1" applyAlignment="1">
      <alignment horizontal="left" vertical="center" wrapText="1"/>
    </xf>
    <xf numFmtId="0" fontId="32" fillId="2" borderId="2" xfId="0" applyFont="1" applyFill="1" applyBorder="1" applyAlignment="1">
      <alignment horizontal="center" vertical="center" wrapText="1"/>
    </xf>
    <xf numFmtId="9" fontId="33" fillId="10" borderId="2" xfId="0" applyNumberFormat="1" applyFont="1" applyFill="1" applyBorder="1" applyAlignment="1">
      <alignment horizontal="center" vertical="center" wrapText="1"/>
    </xf>
    <xf numFmtId="9" fontId="0" fillId="10" borderId="2" xfId="0" applyNumberFormat="1" applyFill="1" applyBorder="1"/>
    <xf numFmtId="0" fontId="34" fillId="10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left" vertical="center" wrapText="1"/>
    </xf>
    <xf numFmtId="165" fontId="33" fillId="10" borderId="2" xfId="0" applyNumberFormat="1" applyFont="1" applyFill="1" applyBorder="1" applyAlignment="1">
      <alignment horizontal="center" vertical="center" wrapText="1"/>
    </xf>
    <xf numFmtId="0" fontId="32" fillId="4" borderId="2" xfId="0" applyFont="1" applyFill="1" applyBorder="1" applyAlignment="1">
      <alignment horizontal="center" vertical="center" wrapText="1"/>
    </xf>
    <xf numFmtId="9" fontId="35" fillId="7" borderId="2" xfId="0" applyNumberFormat="1" applyFont="1" applyFill="1" applyBorder="1" applyAlignment="1">
      <alignment horizontal="center" vertical="center" wrapText="1"/>
    </xf>
    <xf numFmtId="9" fontId="0" fillId="7" borderId="2" xfId="0" applyNumberFormat="1" applyFill="1" applyBorder="1"/>
    <xf numFmtId="0" fontId="34" fillId="7" borderId="2" xfId="0" applyFont="1" applyFill="1" applyBorder="1" applyAlignment="1">
      <alignment horizontal="left" vertical="center" wrapText="1"/>
    </xf>
    <xf numFmtId="0" fontId="12" fillId="7" borderId="2" xfId="0" applyFont="1" applyFill="1" applyBorder="1" applyAlignment="1">
      <alignment horizontal="left" vertical="center" wrapText="1"/>
    </xf>
    <xf numFmtId="0" fontId="32" fillId="5" borderId="2" xfId="0" applyFont="1" applyFill="1" applyBorder="1" applyAlignment="1">
      <alignment horizontal="center" vertical="center" wrapText="1"/>
    </xf>
    <xf numFmtId="9" fontId="36" fillId="8" borderId="2" xfId="0" applyNumberFormat="1" applyFont="1" applyFill="1" applyBorder="1" applyAlignment="1">
      <alignment horizontal="center" vertical="center" wrapText="1"/>
    </xf>
    <xf numFmtId="9" fontId="0" fillId="8" borderId="2" xfId="0" applyNumberFormat="1" applyFill="1" applyBorder="1"/>
    <xf numFmtId="0" fontId="34" fillId="8" borderId="2" xfId="0" applyFont="1" applyFill="1" applyBorder="1" applyAlignment="1">
      <alignment horizontal="left" vertical="center" wrapText="1"/>
    </xf>
    <xf numFmtId="0" fontId="16" fillId="8" borderId="2" xfId="0" applyFont="1" applyFill="1" applyBorder="1" applyAlignment="1">
      <alignment horizontal="left" vertical="center" wrapText="1"/>
    </xf>
    <xf numFmtId="0" fontId="32" fillId="6" borderId="2" xfId="0" applyFont="1" applyFill="1" applyBorder="1" applyAlignment="1">
      <alignment horizontal="center" vertical="center" wrapText="1"/>
    </xf>
    <xf numFmtId="9" fontId="37" fillId="9" borderId="2" xfId="0" applyNumberFormat="1" applyFont="1" applyFill="1" applyBorder="1" applyAlignment="1">
      <alignment horizontal="center" vertical="center" wrapText="1"/>
    </xf>
    <xf numFmtId="9" fontId="0" fillId="9" borderId="2" xfId="0" applyNumberFormat="1" applyFill="1" applyBorder="1"/>
    <xf numFmtId="0" fontId="34" fillId="9" borderId="2" xfId="0" applyFont="1" applyFill="1" applyBorder="1" applyAlignment="1">
      <alignment horizontal="left" vertical="center" wrapText="1"/>
    </xf>
    <xf numFmtId="0" fontId="19" fillId="9" borderId="2" xfId="0" applyFont="1" applyFill="1" applyBorder="1" applyAlignment="1">
      <alignment horizontal="left" vertical="center" wrapText="1"/>
    </xf>
    <xf numFmtId="0" fontId="4" fillId="0" borderId="0" xfId="0" applyFont="1"/>
    <xf numFmtId="0" fontId="7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9" fontId="8" fillId="3" borderId="1" xfId="0" applyNumberFormat="1" applyFont="1" applyFill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9" fontId="0" fillId="0" borderId="1" xfId="0" applyNumberFormat="1" applyBorder="1"/>
    <xf numFmtId="9" fontId="12" fillId="0" borderId="1" xfId="0" applyNumberFormat="1" applyFont="1" applyBorder="1" applyAlignment="1">
      <alignment horizontal="center" vertical="center" wrapText="1"/>
    </xf>
    <xf numFmtId="9" fontId="12" fillId="3" borderId="1" xfId="0" applyNumberFormat="1" applyFont="1" applyFill="1" applyBorder="1" applyAlignment="1">
      <alignment horizontal="center" vertical="center" wrapText="1"/>
    </xf>
    <xf numFmtId="9" fontId="16" fillId="0" borderId="1" xfId="0" applyNumberFormat="1" applyFont="1" applyBorder="1" applyAlignment="1">
      <alignment horizontal="center" vertical="center" wrapText="1"/>
    </xf>
    <xf numFmtId="9" fontId="16" fillId="3" borderId="1" xfId="0" applyNumberFormat="1" applyFont="1" applyFill="1" applyBorder="1" applyAlignment="1">
      <alignment horizontal="center" vertical="center" wrapText="1"/>
    </xf>
    <xf numFmtId="9" fontId="19" fillId="0" borderId="1" xfId="0" applyNumberFormat="1" applyFont="1" applyBorder="1" applyAlignment="1">
      <alignment horizontal="center" vertical="center" wrapText="1"/>
    </xf>
    <xf numFmtId="9" fontId="19" fillId="3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 vertical="top" wrapText="1"/>
    </xf>
    <xf numFmtId="0" fontId="1" fillId="5" borderId="0" xfId="0" applyFont="1" applyFill="1" applyAlignment="1">
      <alignment horizontal="left" vertical="top" wrapText="1"/>
    </xf>
    <xf numFmtId="0" fontId="1" fillId="6" borderId="0" xfId="0" applyFont="1" applyFill="1" applyAlignment="1">
      <alignment horizontal="left" vertical="top" wrapText="1"/>
    </xf>
    <xf numFmtId="0" fontId="32" fillId="11" borderId="0" xfId="0" applyFont="1" applyFill="1"/>
    <xf numFmtId="0" fontId="8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4" fillId="10" borderId="0" xfId="0" applyFont="1" applyFill="1" applyAlignment="1">
      <alignment horizontal="center" vertical="center" wrapText="1"/>
    </xf>
    <xf numFmtId="0" fontId="0" fillId="10" borderId="0" xfId="0" applyFill="1"/>
    <xf numFmtId="9" fontId="22" fillId="10" borderId="0" xfId="0" applyNumberFormat="1" applyFont="1" applyFill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0" fillId="7" borderId="0" xfId="0" applyFill="1"/>
    <xf numFmtId="0" fontId="6" fillId="6" borderId="0" xfId="0" applyFont="1" applyFill="1" applyAlignment="1">
      <alignment horizontal="center" vertical="center" wrapText="1"/>
    </xf>
    <xf numFmtId="0" fontId="0" fillId="6" borderId="0" xfId="0" applyFill="1"/>
    <xf numFmtId="9" fontId="25" fillId="9" borderId="0" xfId="0" applyNumberFormat="1" applyFont="1" applyFill="1" applyAlignment="1">
      <alignment horizontal="center" vertical="center" wrapText="1"/>
    </xf>
    <xf numFmtId="0" fontId="0" fillId="9" borderId="0" xfId="0" applyFill="1"/>
    <xf numFmtId="0" fontId="8" fillId="0" borderId="0" xfId="0" applyFont="1" applyAlignment="1">
      <alignment horizontal="left" vertical="center" wrapText="1"/>
    </xf>
    <xf numFmtId="0" fontId="0" fillId="0" borderId="0" xfId="0"/>
    <xf numFmtId="0" fontId="29" fillId="5" borderId="0" xfId="0" applyFont="1" applyFill="1" applyAlignment="1">
      <alignment horizontal="left" vertical="center" wrapText="1"/>
    </xf>
    <xf numFmtId="0" fontId="0" fillId="5" borderId="0" xfId="0" applyFill="1"/>
    <xf numFmtId="0" fontId="16" fillId="0" borderId="0" xfId="0" applyFont="1" applyAlignment="1">
      <alignment horizontal="left" vertical="center" wrapText="1"/>
    </xf>
    <xf numFmtId="0" fontId="21" fillId="10" borderId="0" xfId="0" applyFont="1" applyFill="1" applyAlignment="1">
      <alignment horizontal="center" vertical="center" wrapText="1"/>
    </xf>
    <xf numFmtId="0" fontId="29" fillId="6" borderId="0" xfId="0" applyFont="1" applyFill="1" applyAlignment="1">
      <alignment horizontal="left" vertical="center" wrapText="1"/>
    </xf>
    <xf numFmtId="0" fontId="14" fillId="8" borderId="0" xfId="0" applyFont="1" applyFill="1" applyAlignment="1">
      <alignment horizontal="center" vertical="center" wrapText="1"/>
    </xf>
    <xf numFmtId="0" fontId="0" fillId="8" borderId="0" xfId="0" applyFill="1"/>
    <xf numFmtId="0" fontId="19" fillId="0" borderId="0" xfId="0" applyFont="1" applyAlignment="1">
      <alignment horizontal="left" vertical="center" wrapText="1"/>
    </xf>
    <xf numFmtId="1" fontId="24" fillId="8" borderId="0" xfId="0" applyNumberFormat="1" applyFont="1" applyFill="1" applyAlignment="1">
      <alignment horizontal="center" vertical="center" wrapText="1"/>
    </xf>
    <xf numFmtId="0" fontId="29" fillId="4" borderId="0" xfId="0" applyFont="1" applyFill="1" applyAlignment="1">
      <alignment horizontal="left" vertical="center" wrapText="1"/>
    </xf>
    <xf numFmtId="0" fontId="0" fillId="4" borderId="0" xfId="0" applyFill="1"/>
    <xf numFmtId="0" fontId="28" fillId="11" borderId="0" xfId="0" applyFont="1" applyFill="1" applyAlignment="1">
      <alignment horizontal="center" vertical="center" wrapText="1"/>
    </xf>
    <xf numFmtId="0" fontId="0" fillId="11" borderId="0" xfId="0" applyFill="1"/>
    <xf numFmtId="164" fontId="22" fillId="10" borderId="0" xfId="0" applyNumberFormat="1" applyFont="1" applyFill="1" applyAlignment="1">
      <alignment horizontal="center" vertical="center" wrapText="1"/>
    </xf>
    <xf numFmtId="9" fontId="23" fillId="7" borderId="0" xfId="0" applyNumberFormat="1" applyFont="1" applyFill="1" applyAlignment="1">
      <alignment horizontal="center" vertical="center" wrapText="1"/>
    </xf>
    <xf numFmtId="0" fontId="27" fillId="5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14" fillId="9" borderId="0" xfId="0" applyFont="1" applyFill="1" applyAlignment="1">
      <alignment horizontal="center" vertical="center" wrapText="1"/>
    </xf>
    <xf numFmtId="0" fontId="27" fillId="11" borderId="0" xfId="0" applyFont="1" applyFill="1" applyAlignment="1">
      <alignment horizontal="center" vertical="center" wrapText="1"/>
    </xf>
    <xf numFmtId="9" fontId="24" fillId="8" borderId="0" xfId="0" applyNumberFormat="1" applyFont="1" applyFill="1" applyAlignment="1">
      <alignment horizontal="center" vertical="center" wrapText="1"/>
    </xf>
    <xf numFmtId="0" fontId="27" fillId="6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/>
    <xf numFmtId="0" fontId="6" fillId="5" borderId="0" xfId="0" applyFont="1" applyFill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29" fillId="2" borderId="0" xfId="0" applyFont="1" applyFill="1" applyAlignment="1">
      <alignment horizontal="left" vertical="center" wrapText="1"/>
    </xf>
    <xf numFmtId="0" fontId="27" fillId="4" borderId="0" xfId="0" applyFont="1" applyFill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7" fillId="0" borderId="1" xfId="0" applyFont="1" applyBorder="1" applyAlignment="1">
      <alignment horizontal="left" vertical="center" wrapText="1"/>
    </xf>
    <xf numFmtId="0" fontId="0" fillId="0" borderId="1" xfId="0" applyBorder="1"/>
    <xf numFmtId="0" fontId="5" fillId="0" borderId="0" xfId="0" applyFont="1" applyAlignment="1">
      <alignment horizontal="left" vertical="center" wrapText="1"/>
    </xf>
    <xf numFmtId="9" fontId="7" fillId="0" borderId="1" xfId="0" applyNumberFormat="1" applyFont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9" fontId="7" fillId="3" borderId="1" xfId="0" applyNumberFormat="1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4" fontId="13" fillId="7" borderId="0" xfId="0" applyNumberFormat="1" applyFont="1" applyFill="1" applyAlignment="1">
      <alignment horizontal="center" vertical="center" wrapText="1"/>
    </xf>
    <xf numFmtId="0" fontId="6" fillId="4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164" fontId="17" fillId="8" borderId="0" xfId="0" applyNumberFormat="1" applyFont="1" applyFill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164" fontId="20" fillId="9" borderId="0" xfId="0" applyNumberFormat="1" applyFont="1" applyFill="1" applyAlignment="1">
      <alignment horizontal="center" vertical="center" wrapText="1"/>
    </xf>
    <xf numFmtId="0" fontId="6" fillId="6" borderId="0" xfId="0" applyFont="1" applyFill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38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E7A44"/>
            </a:solidFill>
            <a:ln>
              <a:solidFill>
                <a:srgbClr val="1E7A44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Students!$B$25:$B$29</c:f>
              <c:strCache>
                <c:ptCount val="5"/>
                <c:pt idx="0">
                  <c:v>Portion too big</c:v>
                </c:pt>
                <c:pt idx="1">
                  <c:v>Don’t like the taste</c:v>
                </c:pt>
                <c:pt idx="2">
                  <c:v>Not hungry</c:v>
                </c:pt>
                <c:pt idx="3">
                  <c:v>Ran out of time</c:v>
                </c:pt>
                <c:pt idx="4">
                  <c:v>Didn’t recognise the dish</c:v>
                </c:pt>
              </c:strCache>
            </c:strRef>
          </c:cat>
          <c:val>
            <c:numRef>
              <c:f>Students!$F$25:$F$29</c:f>
              <c:numCache>
                <c:formatCode>0%</c:formatCode>
                <c:ptCount val="5"/>
                <c:pt idx="0">
                  <c:v>0.43333333333333335</c:v>
                </c:pt>
                <c:pt idx="1">
                  <c:v>0.16666666666666666</c:v>
                </c:pt>
                <c:pt idx="2">
                  <c:v>0.26666666666666666</c:v>
                </c:pt>
                <c:pt idx="3">
                  <c:v>0.1</c:v>
                </c:pt>
                <c:pt idx="4">
                  <c:v>3.3333333333333333E-2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E7A4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AD3-453E-835F-A6E7CB43B6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.1499999999999999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2671A"/>
            </a:solidFill>
            <a:ln>
              <a:solidFill>
                <a:srgbClr val="C2671A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Kitchen!$B$17:$B$20</c:f>
              <c:strCache>
                <c:ptCount val="4"/>
                <c:pt idx="0">
                  <c:v>Past experience</c:v>
                </c:pt>
                <c:pt idx="1">
                  <c:v>Headcount × standard portion</c:v>
                </c:pt>
                <c:pt idx="2">
                  <c:v>Previous day’s leftovers</c:v>
                </c:pt>
                <c:pt idx="3">
                  <c:v>Written records</c:v>
                </c:pt>
              </c:strCache>
            </c:strRef>
          </c:cat>
          <c:val>
            <c:numRef>
              <c:f>Kitchen!$F$17:$F$20</c:f>
              <c:numCache>
                <c:formatCode>0%</c:formatCode>
                <c:ptCount val="4"/>
                <c:pt idx="0">
                  <c:v>0</c:v>
                </c:pt>
                <c:pt idx="1">
                  <c:v>0.625</c:v>
                </c:pt>
                <c:pt idx="2">
                  <c:v>0.25</c:v>
                </c:pt>
                <c:pt idx="3">
                  <c:v>0.125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2671A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32E-4FAC-89A0-C84E7243A5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.1499999999999999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A5FB0"/>
            </a:solidFill>
            <a:ln>
              <a:solidFill>
                <a:srgbClr val="2A5FB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Hospital!$B$29:$B$32</c:f>
              <c:strCache>
                <c:ptCount val="4"/>
                <c:pt idx="0">
                  <c:v>Same day</c:v>
                </c:pt>
                <c:pt idx="1">
                  <c:v>After 2–3 days</c:v>
                </c:pt>
                <c:pt idx="2">
                  <c:v>After 4+ days</c:v>
                </c:pt>
                <c:pt idx="3">
                  <c:v>Often missed</c:v>
                </c:pt>
              </c:strCache>
            </c:strRef>
          </c:cat>
          <c:val>
            <c:numRef>
              <c:f>Hospital!$F$29:$F$32</c:f>
              <c:numCache>
                <c:formatCode>0%</c:formatCode>
                <c:ptCount val="4"/>
                <c:pt idx="0">
                  <c:v>0.33333333333333331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0.16666666666666666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A5FB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14F-45C3-9D74-BC2FF51836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.1499999999999999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5145C4"/>
            </a:solidFill>
            <a:ln>
              <a:solidFill>
                <a:srgbClr val="5145C4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Office!$B$47:$B$49</c:f>
              <c:strCache>
                <c:ptCount val="3"/>
                <c:pt idx="0">
                  <c:v>Yes</c:v>
                </c:pt>
                <c:pt idx="1">
                  <c:v>Only anonymous totals</c:v>
                </c:pt>
                <c:pt idx="2">
                  <c:v>No</c:v>
                </c:pt>
              </c:strCache>
            </c:strRef>
          </c:cat>
          <c:val>
            <c:numRef>
              <c:f>Office!$F$47:$F$49</c:f>
              <c:numCache>
                <c:formatCode>0%</c:formatCode>
                <c:ptCount val="3"/>
                <c:pt idx="0">
                  <c:v>0.16666666666666666</c:v>
                </c:pt>
                <c:pt idx="1">
                  <c:v>0.5</c:v>
                </c:pt>
                <c:pt idx="2">
                  <c:v>0.33333333333333331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145C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6B9-4DAB-951D-9954009551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.1499999999999999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E7A44"/>
            </a:solidFill>
            <a:ln>
              <a:solidFill>
                <a:srgbClr val="1E7A44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Students!$B$56:$B$59</c:f>
              <c:strCache>
                <c:ptCount val="4"/>
                <c:pt idx="0">
                  <c:v>S6  I would like to see what I ate at lunch (food groups and nutrients).</c:v>
                </c:pt>
                <c:pt idx="1">
                  <c:v>S8  I would scan my tray before and after lunch if it fed a virtual pet.</c:v>
                </c:pt>
                <c:pt idx="2">
                  <c:v>S9  A weekly class competition on food waste would motivate me.</c:v>
                </c:pt>
                <c:pt idx="3">
                  <c:v>S10  I would be comfortable signing in to a scanner with my face.</c:v>
                </c:pt>
              </c:strCache>
            </c:strRef>
          </c:cat>
          <c:val>
            <c:numRef>
              <c:f>Students!$G$56:$G$59</c:f>
              <c:numCache>
                <c:formatCode>0%</c:formatCode>
                <c:ptCount val="4"/>
                <c:pt idx="0">
                  <c:v>0.6</c:v>
                </c:pt>
                <c:pt idx="1">
                  <c:v>0.66666666666666663</c:v>
                </c:pt>
                <c:pt idx="2">
                  <c:v>0.73333333333333328</c:v>
                </c:pt>
                <c:pt idx="3">
                  <c:v>0.43333333333333335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E7A4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458-44A0-98FE-B145DAA149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.1499999999999999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Main reason for leaving food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E7A44"/>
            </a:solidFill>
            <a:ln>
              <a:solidFill>
                <a:srgbClr val="1E7A44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Students!$B$25:$B$29</c:f>
              <c:strCache>
                <c:ptCount val="5"/>
                <c:pt idx="0">
                  <c:v>Portion too big</c:v>
                </c:pt>
                <c:pt idx="1">
                  <c:v>Don’t like the taste</c:v>
                </c:pt>
                <c:pt idx="2">
                  <c:v>Not hungry</c:v>
                </c:pt>
                <c:pt idx="3">
                  <c:v>Ran out of time</c:v>
                </c:pt>
                <c:pt idx="4">
                  <c:v>Didn’t recognise the dish</c:v>
                </c:pt>
              </c:strCache>
            </c:strRef>
          </c:cat>
          <c:val>
            <c:numRef>
              <c:f>Students!$F$25:$F$29</c:f>
              <c:numCache>
                <c:formatCode>0%</c:formatCode>
                <c:ptCount val="5"/>
                <c:pt idx="0">
                  <c:v>0.43333333333333335</c:v>
                </c:pt>
                <c:pt idx="1">
                  <c:v>0.16666666666666666</c:v>
                </c:pt>
                <c:pt idx="2">
                  <c:v>0.26666666666666666</c:v>
                </c:pt>
                <c:pt idx="3">
                  <c:v>0.1</c:v>
                </c:pt>
                <c:pt idx="4">
                  <c:v>3.3333333333333333E-2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E7A4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BFB-4ECF-A071-BAE1770886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.1499999999999999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2671A"/>
            </a:solidFill>
            <a:ln>
              <a:solidFill>
                <a:srgbClr val="C2671A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Kitchen!$B$49:$B$52</c:f>
              <c:strCache>
                <c:ptCount val="4"/>
                <c:pt idx="0">
                  <c:v>K6  A suggested order for tomorrow, based on what was eaten, would be useful.</c:v>
                </c:pt>
                <c:pt idx="1">
                  <c:v>K7  Seeing waste broken down by dish would be useful.</c:v>
                </c:pt>
                <c:pt idx="2">
                  <c:v>K8  A monthly carbon report would be useful.</c:v>
                </c:pt>
                <c:pt idx="3">
                  <c:v>K10  I am worried a new system would add to my workload.</c:v>
                </c:pt>
              </c:strCache>
            </c:strRef>
          </c:cat>
          <c:val>
            <c:numRef>
              <c:f>Kitchen!$G$49:$G$52</c:f>
              <c:numCache>
                <c:formatCode>0%</c:formatCode>
                <c:ptCount val="4"/>
                <c:pt idx="0">
                  <c:v>0.75</c:v>
                </c:pt>
                <c:pt idx="1">
                  <c:v>1</c:v>
                </c:pt>
                <c:pt idx="2">
                  <c:v>0.375</c:v>
                </c:pt>
                <c:pt idx="3">
                  <c:v>0.5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2671A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15E-4033-A474-4AD7C8FF8B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.1499999999999999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How quantities are decided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2671A"/>
            </a:solidFill>
            <a:ln>
              <a:solidFill>
                <a:srgbClr val="C2671A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Kitchen!$B$17:$B$20</c:f>
              <c:strCache>
                <c:ptCount val="4"/>
                <c:pt idx="0">
                  <c:v>Past experience</c:v>
                </c:pt>
                <c:pt idx="1">
                  <c:v>Headcount × standard portion</c:v>
                </c:pt>
                <c:pt idx="2">
                  <c:v>Previous day’s leftovers</c:v>
                </c:pt>
                <c:pt idx="3">
                  <c:v>Written records</c:v>
                </c:pt>
              </c:strCache>
            </c:strRef>
          </c:cat>
          <c:val>
            <c:numRef>
              <c:f>Kitchen!$F$17:$F$20</c:f>
              <c:numCache>
                <c:formatCode>0%</c:formatCode>
                <c:ptCount val="4"/>
                <c:pt idx="0">
                  <c:v>0</c:v>
                </c:pt>
                <c:pt idx="1">
                  <c:v>0.625</c:v>
                </c:pt>
                <c:pt idx="2">
                  <c:v>0.25</c:v>
                </c:pt>
                <c:pt idx="3">
                  <c:v>0.125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2671A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853-41C0-9F1C-156C122C36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.1499999999999999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A5FB0"/>
            </a:solidFill>
            <a:ln>
              <a:solidFill>
                <a:srgbClr val="2A5FB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Hospital!$B$53:$B$55</c:f>
              <c:strCache>
                <c:ptCount val="3"/>
                <c:pt idx="0">
                  <c:v>H3  I am confident our intake records are accurate.</c:v>
                </c:pt>
                <c:pt idx="1">
                  <c:v>H7  Automatic intake records for every tray would be useful.</c:v>
                </c:pt>
                <c:pt idx="2">
                  <c:v>H8  An alert that includes the patient’s reason for not eating would be useful.</c:v>
                </c:pt>
              </c:strCache>
            </c:strRef>
          </c:cat>
          <c:val>
            <c:numRef>
              <c:f>Hospital!$G$53:$G$55</c:f>
              <c:numCache>
                <c:formatCode>0%</c:formatCode>
                <c:ptCount val="3"/>
                <c:pt idx="0">
                  <c:v>0.16666666666666666</c:v>
                </c:pt>
                <c:pt idx="1">
                  <c:v>1</c:v>
                </c:pt>
                <c:pt idx="2">
                  <c:v>0.66666666666666663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A5FB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51C-46A4-8B0F-7D0EA94F3D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.1499999999999999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When a poor eater is noticed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A5FB0"/>
            </a:solidFill>
            <a:ln>
              <a:solidFill>
                <a:srgbClr val="2A5FB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Hospital!$B$29:$B$32</c:f>
              <c:strCache>
                <c:ptCount val="4"/>
                <c:pt idx="0">
                  <c:v>Same day</c:v>
                </c:pt>
                <c:pt idx="1">
                  <c:v>After 2–3 days</c:v>
                </c:pt>
                <c:pt idx="2">
                  <c:v>After 4+ days</c:v>
                </c:pt>
                <c:pt idx="3">
                  <c:v>Often missed</c:v>
                </c:pt>
              </c:strCache>
            </c:strRef>
          </c:cat>
          <c:val>
            <c:numRef>
              <c:f>Hospital!$F$29:$F$32</c:f>
              <c:numCache>
                <c:formatCode>0%</c:formatCode>
                <c:ptCount val="4"/>
                <c:pt idx="0">
                  <c:v>0.33333333333333331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0.16666666666666666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A5FB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9A9-42C6-B64A-06810F6810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.1499999999999999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5145C4"/>
            </a:solidFill>
            <a:ln>
              <a:solidFill>
                <a:srgbClr val="5145C4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Office!$B$58:$B$59</c:f>
              <c:strCache>
                <c:ptCount val="2"/>
                <c:pt idx="0">
                  <c:v>O4  I know the nutrients in my canteen lunch.</c:v>
                </c:pt>
                <c:pt idx="1">
                  <c:v>O7  A daily lunch suggestion for my health goal would be useful.</c:v>
                </c:pt>
              </c:strCache>
            </c:strRef>
          </c:cat>
          <c:val>
            <c:numRef>
              <c:f>Office!$G$58:$G$59</c:f>
              <c:numCache>
                <c:formatCode>0%</c:formatCode>
                <c:ptCount val="2"/>
                <c:pt idx="0">
                  <c:v>0.33333333333333331</c:v>
                </c:pt>
                <c:pt idx="1">
                  <c:v>0.66666666666666663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145C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7C1-44F7-B25A-660C2E3749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.1499999999999999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Share meal data with employer?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5145C4"/>
            </a:solidFill>
            <a:ln>
              <a:solidFill>
                <a:srgbClr val="5145C4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Office!$B$47:$B$49</c:f>
              <c:strCache>
                <c:ptCount val="3"/>
                <c:pt idx="0">
                  <c:v>Yes</c:v>
                </c:pt>
                <c:pt idx="1">
                  <c:v>Only anonymous totals</c:v>
                </c:pt>
                <c:pt idx="2">
                  <c:v>No</c:v>
                </c:pt>
              </c:strCache>
            </c:strRef>
          </c:cat>
          <c:val>
            <c:numRef>
              <c:f>Office!$F$47:$F$49</c:f>
              <c:numCache>
                <c:formatCode>0%</c:formatCode>
                <c:ptCount val="3"/>
                <c:pt idx="0">
                  <c:v>0.16666666666666666</c:v>
                </c:pt>
                <c:pt idx="1">
                  <c:v>0.5</c:v>
                </c:pt>
                <c:pt idx="2">
                  <c:v>0.33333333333333331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145C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8F6-4505-A8D3-298FFE7105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.1499999999999999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9</xdr:row>
      <xdr:rowOff>0</xdr:rowOff>
    </xdr:from>
    <xdr:ext cx="3456000" cy="16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3456000" cy="16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25</xdr:row>
      <xdr:rowOff>0</xdr:rowOff>
    </xdr:from>
    <xdr:ext cx="3456000" cy="16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3456000" cy="16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23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7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23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7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23</xdr:row>
      <xdr:rowOff>0</xdr:rowOff>
    </xdr:from>
    <xdr:ext cx="54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7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23</xdr:row>
      <xdr:rowOff>0</xdr:rowOff>
    </xdr:from>
    <xdr:ext cx="54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7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37"/>
  <sheetViews>
    <sheetView showGridLines="0" tabSelected="1" workbookViewId="0">
      <pane ySplit="6" topLeftCell="A7" activePane="bottomLeft" state="frozen"/>
      <selection pane="bottomLeft"/>
    </sheetView>
  </sheetViews>
  <sheetFormatPr defaultRowHeight="15" x14ac:dyDescent="0.25"/>
  <cols>
    <col min="1" max="1" width="2" customWidth="1"/>
    <col min="2" max="17" width="10.42578125" customWidth="1"/>
  </cols>
  <sheetData>
    <row r="1" spans="2:17" ht="39.950000000000003" customHeight="1" x14ac:dyDescent="0.25">
      <c r="B1" s="95" t="s">
        <v>0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</row>
    <row r="2" spans="2:17" ht="21.95" customHeight="1" x14ac:dyDescent="0.25"/>
    <row r="4" spans="2:17" ht="39.950000000000003" customHeight="1" x14ac:dyDescent="0.25">
      <c r="B4" s="89">
        <f>COUNTA(Students_Data!$A$2:$A$1000)+COUNTA(Kitchen_Data!$A$2:$A$1000)+COUNTA(Hospital_Data!$A$2:$A$1000)+COUNTA(Office_Data!$A$2:$A$1000)</f>
        <v>50</v>
      </c>
      <c r="C4" s="83"/>
      <c r="D4" s="83"/>
      <c r="E4" s="98">
        <f>COUNTA(Students_Data!$A$2:$A$1000)</f>
        <v>30</v>
      </c>
      <c r="F4" s="93"/>
      <c r="G4" s="93"/>
      <c r="H4" s="97">
        <f>COUNTA(Kitchen_Data!$A$2:$A$1000)</f>
        <v>8</v>
      </c>
      <c r="I4" s="81"/>
      <c r="J4" s="81"/>
      <c r="K4" s="86">
        <f>COUNTA(Hospital_Data!$A$2:$A$1000)</f>
        <v>6</v>
      </c>
      <c r="L4" s="72"/>
      <c r="M4" s="72"/>
      <c r="N4" s="91">
        <f>COUNTA(Office_Data!$A$2:$A$1000)</f>
        <v>6</v>
      </c>
      <c r="O4" s="66"/>
      <c r="P4" s="66"/>
    </row>
    <row r="5" spans="2:17" ht="21.95" customHeight="1" x14ac:dyDescent="0.25">
      <c r="B5" s="82" t="s">
        <v>1</v>
      </c>
      <c r="C5" s="83"/>
      <c r="D5" s="83"/>
      <c r="E5" s="92" t="s">
        <v>2</v>
      </c>
      <c r="F5" s="93"/>
      <c r="G5" s="93"/>
      <c r="H5" s="87" t="s">
        <v>3</v>
      </c>
      <c r="I5" s="81"/>
      <c r="J5" s="81"/>
      <c r="K5" s="94" t="s">
        <v>4</v>
      </c>
      <c r="L5" s="72"/>
      <c r="M5" s="72"/>
      <c r="N5" s="65" t="s">
        <v>5</v>
      </c>
      <c r="O5" s="66"/>
      <c r="P5" s="66"/>
    </row>
    <row r="8" spans="2:17" ht="27.95" customHeight="1" x14ac:dyDescent="0.25">
      <c r="B8" s="96" t="s">
        <v>6</v>
      </c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</row>
    <row r="9" spans="2:17" x14ac:dyDescent="0.25">
      <c r="N9" s="5" t="s">
        <v>7</v>
      </c>
    </row>
    <row r="10" spans="2:17" ht="44.1" customHeight="1" x14ac:dyDescent="0.25">
      <c r="B10" s="74" t="str">
        <f>INDEX(Students!$B$25:$B$29,MATCH(MAX(Students!$F$25:$F$29),Students!$F$25:$F$29,0))</f>
        <v>Portion too big</v>
      </c>
      <c r="C10" s="61"/>
      <c r="D10" s="61"/>
      <c r="E10" s="62">
        <f>MAX(Students!$F$25:$F$29)</f>
        <v>0.43333333333333335</v>
      </c>
      <c r="F10" s="61"/>
      <c r="G10" s="61"/>
      <c r="H10" s="62">
        <f>Students!$F$48</f>
        <v>0.56666666666666665</v>
      </c>
      <c r="I10" s="61"/>
      <c r="J10" s="61"/>
      <c r="K10" s="84">
        <f>Students!$F$57</f>
        <v>3.9666666666666668</v>
      </c>
      <c r="L10" s="61"/>
      <c r="M10" s="61"/>
    </row>
    <row r="11" spans="2:17" ht="30" customHeight="1" x14ac:dyDescent="0.25">
      <c r="B11" s="60" t="s">
        <v>8</v>
      </c>
      <c r="C11" s="61"/>
      <c r="D11" s="61"/>
      <c r="E11" s="60" t="s">
        <v>9</v>
      </c>
      <c r="F11" s="61"/>
      <c r="G11" s="61"/>
      <c r="H11" s="60" t="s">
        <v>10</v>
      </c>
      <c r="I11" s="61"/>
      <c r="J11" s="61"/>
      <c r="K11" s="60" t="s">
        <v>11</v>
      </c>
      <c r="L11" s="61"/>
      <c r="M11" s="61"/>
    </row>
    <row r="13" spans="2:17" ht="30" customHeight="1" x14ac:dyDescent="0.25">
      <c r="B13" s="69" t="s">
        <v>12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</row>
    <row r="16" spans="2:17" ht="27.95" customHeight="1" x14ac:dyDescent="0.25">
      <c r="B16" s="80" t="s">
        <v>13</v>
      </c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</row>
    <row r="17" spans="2:17" x14ac:dyDescent="0.25">
      <c r="N17" s="6" t="s">
        <v>14</v>
      </c>
    </row>
    <row r="18" spans="2:17" ht="44.1" customHeight="1" x14ac:dyDescent="0.25">
      <c r="B18" s="85">
        <f>Kitchen!$F$17+Kitchen!$F$18</f>
        <v>0.625</v>
      </c>
      <c r="C18" s="64"/>
      <c r="D18" s="64"/>
      <c r="E18" s="85">
        <f>Kitchen!$F$29</f>
        <v>0.125</v>
      </c>
      <c r="F18" s="64"/>
      <c r="G18" s="64"/>
      <c r="H18" s="85">
        <f>Kitchen!$B$24/100</f>
        <v>0.2225</v>
      </c>
      <c r="I18" s="64"/>
      <c r="J18" s="64"/>
      <c r="K18" s="85">
        <f>Kitchen!$G$50</f>
        <v>1</v>
      </c>
      <c r="L18" s="64"/>
      <c r="M18" s="64"/>
    </row>
    <row r="19" spans="2:17" ht="30" customHeight="1" x14ac:dyDescent="0.25">
      <c r="B19" s="63" t="s">
        <v>15</v>
      </c>
      <c r="C19" s="64"/>
      <c r="D19" s="64"/>
      <c r="E19" s="63" t="s">
        <v>16</v>
      </c>
      <c r="F19" s="64"/>
      <c r="G19" s="64"/>
      <c r="H19" s="63" t="s">
        <v>17</v>
      </c>
      <c r="I19" s="64"/>
      <c r="J19" s="64"/>
      <c r="K19" s="63" t="s">
        <v>18</v>
      </c>
      <c r="L19" s="64"/>
      <c r="M19" s="64"/>
    </row>
    <row r="21" spans="2:17" ht="30" customHeight="1" x14ac:dyDescent="0.25">
      <c r="B21" s="99" t="s">
        <v>19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</row>
    <row r="24" spans="2:17" ht="27.95" customHeight="1" x14ac:dyDescent="0.25">
      <c r="B24" s="71" t="s">
        <v>20</v>
      </c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</row>
    <row r="25" spans="2:17" x14ac:dyDescent="0.25">
      <c r="N25" s="7" t="s">
        <v>21</v>
      </c>
    </row>
    <row r="26" spans="2:17" ht="44.1" customHeight="1" x14ac:dyDescent="0.25">
      <c r="B26" s="90">
        <f>Hospital!$G$53</f>
        <v>0.16666666666666666</v>
      </c>
      <c r="C26" s="77"/>
      <c r="D26" s="77"/>
      <c r="E26" s="79">
        <f>Hospital!$B$24</f>
        <v>31.333333333333332</v>
      </c>
      <c r="F26" s="77"/>
      <c r="G26" s="77"/>
      <c r="H26" s="90">
        <f>Hospital!$F$29</f>
        <v>0.33333333333333331</v>
      </c>
      <c r="I26" s="77"/>
      <c r="J26" s="77"/>
      <c r="K26" s="90">
        <f>Hospital!$G$54</f>
        <v>1</v>
      </c>
      <c r="L26" s="77"/>
      <c r="M26" s="77"/>
    </row>
    <row r="27" spans="2:17" ht="30" customHeight="1" x14ac:dyDescent="0.25">
      <c r="B27" s="76" t="s">
        <v>22</v>
      </c>
      <c r="C27" s="77"/>
      <c r="D27" s="77"/>
      <c r="E27" s="76" t="s">
        <v>23</v>
      </c>
      <c r="F27" s="77"/>
      <c r="G27" s="77"/>
      <c r="H27" s="76" t="s">
        <v>24</v>
      </c>
      <c r="I27" s="77"/>
      <c r="J27" s="77"/>
      <c r="K27" s="76" t="s">
        <v>25</v>
      </c>
      <c r="L27" s="77"/>
      <c r="M27" s="77"/>
    </row>
    <row r="29" spans="2:17" ht="30" customHeight="1" x14ac:dyDescent="0.25">
      <c r="B29" s="73" t="s">
        <v>26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</row>
    <row r="32" spans="2:17" ht="27.95" customHeight="1" x14ac:dyDescent="0.25">
      <c r="B32" s="75" t="s">
        <v>27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</row>
    <row r="33" spans="2:14" x14ac:dyDescent="0.25">
      <c r="N33" s="8" t="s">
        <v>28</v>
      </c>
    </row>
    <row r="34" spans="2:14" ht="44.1" customHeight="1" x14ac:dyDescent="0.25">
      <c r="B34" s="67">
        <f>Office!$G$58</f>
        <v>0.33333333333333331</v>
      </c>
      <c r="C34" s="68"/>
      <c r="D34" s="68"/>
      <c r="E34" s="67">
        <f>Office!$F$34+Office!$F$35</f>
        <v>0.5</v>
      </c>
      <c r="F34" s="68"/>
      <c r="G34" s="68"/>
      <c r="H34" s="67">
        <f>Office!$F$40</f>
        <v>0.33333333333333331</v>
      </c>
      <c r="I34" s="68"/>
      <c r="J34" s="68"/>
      <c r="K34" s="67">
        <f>Office!$F$48+Office!$F$49</f>
        <v>0.83333333333333326</v>
      </c>
      <c r="L34" s="68"/>
      <c r="M34" s="68"/>
    </row>
    <row r="35" spans="2:14" ht="30" customHeight="1" x14ac:dyDescent="0.25">
      <c r="B35" s="88" t="s">
        <v>29</v>
      </c>
      <c r="C35" s="68"/>
      <c r="D35" s="68"/>
      <c r="E35" s="88" t="s">
        <v>30</v>
      </c>
      <c r="F35" s="68"/>
      <c r="G35" s="68"/>
      <c r="H35" s="88" t="s">
        <v>31</v>
      </c>
      <c r="I35" s="68"/>
      <c r="J35" s="68"/>
      <c r="K35" s="88" t="s">
        <v>32</v>
      </c>
      <c r="L35" s="68"/>
      <c r="M35" s="68"/>
    </row>
    <row r="37" spans="2:14" ht="30" customHeight="1" x14ac:dyDescent="0.25">
      <c r="B37" s="78" t="s">
        <v>33</v>
      </c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</row>
  </sheetData>
  <mergeCells count="51">
    <mergeCell ref="B1:Q1"/>
    <mergeCell ref="B8:Q8"/>
    <mergeCell ref="H4:J4"/>
    <mergeCell ref="B18:D18"/>
    <mergeCell ref="B27:D27"/>
    <mergeCell ref="E4:G4"/>
    <mergeCell ref="K26:M26"/>
    <mergeCell ref="B21:M21"/>
    <mergeCell ref="K11:M11"/>
    <mergeCell ref="N4:P4"/>
    <mergeCell ref="H26:J26"/>
    <mergeCell ref="K34:M34"/>
    <mergeCell ref="H10:J10"/>
    <mergeCell ref="E5:G5"/>
    <mergeCell ref="K5:M5"/>
    <mergeCell ref="H34:J34"/>
    <mergeCell ref="B5:D5"/>
    <mergeCell ref="K19:M19"/>
    <mergeCell ref="K10:M10"/>
    <mergeCell ref="H18:J18"/>
    <mergeCell ref="K4:M4"/>
    <mergeCell ref="H5:J5"/>
    <mergeCell ref="B4:D4"/>
    <mergeCell ref="E18:G18"/>
    <mergeCell ref="K18:M18"/>
    <mergeCell ref="B37:M37"/>
    <mergeCell ref="H19:J19"/>
    <mergeCell ref="H27:J27"/>
    <mergeCell ref="E26:G26"/>
    <mergeCell ref="B16:Q16"/>
    <mergeCell ref="B35:D35"/>
    <mergeCell ref="B26:D26"/>
    <mergeCell ref="H35:J35"/>
    <mergeCell ref="E35:G35"/>
    <mergeCell ref="K35:M35"/>
    <mergeCell ref="B11:D11"/>
    <mergeCell ref="E10:G10"/>
    <mergeCell ref="E19:G19"/>
    <mergeCell ref="N5:P5"/>
    <mergeCell ref="E34:G34"/>
    <mergeCell ref="B13:M13"/>
    <mergeCell ref="B24:Q24"/>
    <mergeCell ref="H11:J11"/>
    <mergeCell ref="B29:M29"/>
    <mergeCell ref="B34:D34"/>
    <mergeCell ref="B10:D10"/>
    <mergeCell ref="B19:D19"/>
    <mergeCell ref="E11:G11"/>
    <mergeCell ref="B32:Q32"/>
    <mergeCell ref="E27:G27"/>
    <mergeCell ref="K27:M27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7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2" customWidth="1"/>
    <col min="2" max="2" width="15" customWidth="1"/>
    <col min="3" max="3" width="11" customWidth="1"/>
    <col min="4" max="4" width="14" customWidth="1"/>
    <col min="5" max="5" width="74" customWidth="1"/>
    <col min="6" max="6" width="50" customWidth="1"/>
  </cols>
  <sheetData>
    <row r="1" spans="2:6" ht="36" customHeight="1" x14ac:dyDescent="0.25">
      <c r="B1" s="101" t="s">
        <v>34</v>
      </c>
      <c r="C1" s="70"/>
      <c r="D1" s="70"/>
      <c r="E1" s="70"/>
      <c r="F1" s="70"/>
    </row>
    <row r="2" spans="2:6" x14ac:dyDescent="0.25">
      <c r="B2" s="100" t="s">
        <v>35</v>
      </c>
      <c r="C2" s="70"/>
      <c r="D2" s="70"/>
      <c r="E2" s="70"/>
      <c r="F2" s="70"/>
    </row>
    <row r="4" spans="2:6" ht="24" customHeight="1" x14ac:dyDescent="0.25">
      <c r="B4" s="9" t="s">
        <v>36</v>
      </c>
      <c r="C4" s="9" t="s">
        <v>37</v>
      </c>
      <c r="D4" s="9"/>
      <c r="E4" s="9" t="s">
        <v>38</v>
      </c>
      <c r="F4" s="9" t="s">
        <v>39</v>
      </c>
    </row>
    <row r="5" spans="2:6" ht="45.95" customHeight="1" x14ac:dyDescent="0.25">
      <c r="B5" s="10" t="s">
        <v>2</v>
      </c>
      <c r="C5" s="11">
        <f>MAX(Students!$F$25:$F$29)</f>
        <v>0.43333333333333335</v>
      </c>
      <c r="D5" s="12">
        <f>C5</f>
        <v>0.43333333333333335</v>
      </c>
      <c r="E5" s="13" t="str">
        <f>"The most common reason for leaving food is '"&amp;INDEX(Students!$B$25:$B$29,MATCH(MAX(Students!$F$25:$F$29),Students!$F$25:$F$29,0))&amp;"' ("&amp;TEXT(MAX(Students!$F$25:$F$29),"0%")&amp;"); "&amp;TEXT(Students!$F$34,"0%")&amp;" would take a smaller portion if they could ask easily."</f>
        <v>The most common reason for leaving food is 'Portion too big' (43%); 47% would take a smaller portion if they could ask easily.</v>
      </c>
      <c r="F5" s="14" t="s">
        <v>40</v>
      </c>
    </row>
    <row r="6" spans="2:6" ht="45.95" customHeight="1" x14ac:dyDescent="0.25">
      <c r="B6" s="10" t="s">
        <v>2</v>
      </c>
      <c r="C6" s="11">
        <f>Students!$F$48</f>
        <v>0.56666666666666665</v>
      </c>
      <c r="D6" s="12">
        <f>C6</f>
        <v>0.56666666666666665</v>
      </c>
      <c r="E6" s="13" t="str">
        <f>"When seeing what they ate, "&amp;TEXT(Students!$F$48,"0%")&amp;" would rather see food groups and "&amp;TEXT(Students!$F$49,"0%")&amp;" calories."</f>
        <v>When seeing what they ate, 57% would rather see food groups and 10% calories.</v>
      </c>
      <c r="F6" s="14" t="s">
        <v>41</v>
      </c>
    </row>
    <row r="7" spans="2:6" ht="45.95" customHeight="1" x14ac:dyDescent="0.25">
      <c r="B7" s="10" t="s">
        <v>2</v>
      </c>
      <c r="C7" s="15">
        <f>Students!$F$57</f>
        <v>3.9666666666666668</v>
      </c>
      <c r="D7" s="12">
        <f>C7/5</f>
        <v>0.79333333333333333</v>
      </c>
      <c r="E7" s="13" t="str">
        <f>"Interest in scanning trays to feed a virtual pet averages "&amp;TEXT(Students!$F$57,"0.0")&amp;" out of 5; "&amp;TEXT(Students!$G$57,"0%")&amp;" agree."</f>
        <v>Interest in scanning trays to feed a virtual pet averages 4.0 out of 5; 67% agree.</v>
      </c>
      <c r="F7" s="14" t="s">
        <v>42</v>
      </c>
    </row>
    <row r="8" spans="2:6" ht="45.95" customHeight="1" x14ac:dyDescent="0.25">
      <c r="B8" s="10" t="s">
        <v>2</v>
      </c>
      <c r="C8" s="11">
        <f>Students!$G$59</f>
        <v>0.43333333333333335</v>
      </c>
      <c r="D8" s="12">
        <f t="shared" ref="D8:D17" si="0">C8</f>
        <v>0.43333333333333335</v>
      </c>
      <c r="E8" s="13" t="str">
        <f>TEXT(Students!$G$59,"0%")&amp;" of students are comfortable with face sign-in."</f>
        <v>43% of students are comfortable with face sign-in.</v>
      </c>
      <c r="F8" s="14" t="s">
        <v>43</v>
      </c>
    </row>
    <row r="9" spans="2:6" ht="45.95" customHeight="1" x14ac:dyDescent="0.25">
      <c r="B9" s="16" t="s">
        <v>3</v>
      </c>
      <c r="C9" s="17">
        <f>Kitchen!$F$17+Kitchen!$F$18</f>
        <v>0.625</v>
      </c>
      <c r="D9" s="18">
        <f t="shared" si="0"/>
        <v>0.625</v>
      </c>
      <c r="E9" s="19" t="str">
        <f>TEXT(Kitchen!$F$17+Kitchen!$F$18,"0%")&amp;" of kitchen staff decide quantities by experience or headcount; "&amp;TEXT(Kitchen!$F$29,"0%")&amp;" know accurately which dishes come back."</f>
        <v>63% of kitchen staff decide quantities by experience or headcount; 13% know accurately which dishes come back.</v>
      </c>
      <c r="F9" s="20" t="s">
        <v>44</v>
      </c>
    </row>
    <row r="10" spans="2:6" ht="45.95" customHeight="1" x14ac:dyDescent="0.25">
      <c r="B10" s="16" t="s">
        <v>3</v>
      </c>
      <c r="C10" s="17">
        <f>Kitchen!$B$24/100</f>
        <v>0.2225</v>
      </c>
      <c r="D10" s="18">
        <f t="shared" si="0"/>
        <v>0.2225</v>
      </c>
      <c r="E10" s="19" t="str">
        <f>"Kitchen staff estimate "&amp;TEXT(Kitchen!$B$24,"0")&amp;"% of cooked food is thrown away and spend "&amp;TEXT(Kitchen!$B$44,"0")&amp;" minutes a day planning quantities."</f>
        <v>Kitchen staff estimate 22% of cooked food is thrown away and spend 32 minutes a day planning quantities.</v>
      </c>
      <c r="F10" s="20" t="s">
        <v>45</v>
      </c>
    </row>
    <row r="11" spans="2:6" ht="45.95" customHeight="1" x14ac:dyDescent="0.25">
      <c r="B11" s="16" t="s">
        <v>3</v>
      </c>
      <c r="C11" s="17">
        <f>Kitchen!$G$50</f>
        <v>1</v>
      </c>
      <c r="D11" s="18">
        <f t="shared" si="0"/>
        <v>1</v>
      </c>
      <c r="E11" s="19" t="str">
        <f>"A suggested order is rated useful by "&amp;TEXT(Kitchen!$G$49,"0%")&amp;" and waste by dish by "&amp;TEXT(Kitchen!$G$50,"0%")&amp;"; "&amp;TEXT(Kitchen!$G$52,"0%")&amp;" worry about extra workload."</f>
        <v>A suggested order is rated useful by 75% and waste by dish by 100%; 50% worry about extra workload.</v>
      </c>
      <c r="F11" s="20" t="s">
        <v>46</v>
      </c>
    </row>
    <row r="12" spans="2:6" ht="45.95" customHeight="1" x14ac:dyDescent="0.25">
      <c r="B12" s="21" t="s">
        <v>4</v>
      </c>
      <c r="C12" s="22">
        <f>Hospital!$G$53</f>
        <v>0.16666666666666666</v>
      </c>
      <c r="D12" s="23">
        <f t="shared" si="0"/>
        <v>0.16666666666666666</v>
      </c>
      <c r="E12" s="24" t="str">
        <f>TEXT(Hospital!$G$53,"0%")&amp;" of hospital staff trust their intake records; documenting intake takes "&amp;TEXT(Hospital!$B$24,"0")&amp;" minutes a shift."</f>
        <v>17% of hospital staff trust their intake records; documenting intake takes 31 minutes a shift.</v>
      </c>
      <c r="F12" s="25" t="s">
        <v>47</v>
      </c>
    </row>
    <row r="13" spans="2:6" ht="45.95" customHeight="1" x14ac:dyDescent="0.25">
      <c r="B13" s="21" t="s">
        <v>4</v>
      </c>
      <c r="C13" s="22">
        <f>Hospital!$F$29</f>
        <v>0.33333333333333331</v>
      </c>
      <c r="D13" s="23">
        <f t="shared" si="0"/>
        <v>0.33333333333333331</v>
      </c>
      <c r="E13" s="24" t="str">
        <f>"Staff say a patient who stops eating is noticed the same day in "&amp;TEXT(Hospital!$F$29,"0%")&amp;" of cases."</f>
        <v>Staff say a patient who stops eating is noticed the same day in 33% of cases.</v>
      </c>
      <c r="F13" s="25" t="s">
        <v>48</v>
      </c>
    </row>
    <row r="14" spans="2:6" ht="45.95" customHeight="1" x14ac:dyDescent="0.25">
      <c r="B14" s="21" t="s">
        <v>4</v>
      </c>
      <c r="C14" s="22">
        <f>Hospital!$G$54</f>
        <v>1</v>
      </c>
      <c r="D14" s="23">
        <f t="shared" si="0"/>
        <v>1</v>
      </c>
      <c r="E14" s="24" t="str">
        <f>"Automatic intake records are rated useful by "&amp;TEXT(Hospital!$G$54,"0%")&amp;"; "&amp;TEXT(Hospital!$F$46,"0%")&amp;" say patients would benefit from choosing tomorrow’s meals."</f>
        <v>Automatic intake records are rated useful by 100%; 50% say patients would benefit from choosing tomorrow’s meals.</v>
      </c>
      <c r="F14" s="25" t="s">
        <v>49</v>
      </c>
    </row>
    <row r="15" spans="2:6" ht="45.95" customHeight="1" x14ac:dyDescent="0.25">
      <c r="B15" s="26" t="s">
        <v>5</v>
      </c>
      <c r="C15" s="27">
        <f>Office!$F$34+Office!$F$35</f>
        <v>0.5</v>
      </c>
      <c r="D15" s="28">
        <f t="shared" si="0"/>
        <v>0.5</v>
      </c>
      <c r="E15" s="29" t="str">
        <f>TEXT(Office!$G$58,"0%")&amp;" of office workers know the nutrients in their lunch; "&amp;TEXT(Office!$F$34+Office!$F$35,"0%")&amp;" feel an afternoon energy dip often or daily."</f>
        <v>33% of office workers know the nutrients in their lunch; 50% feel an afternoon energy dip often or daily.</v>
      </c>
      <c r="F15" s="30" t="s">
        <v>50</v>
      </c>
    </row>
    <row r="16" spans="2:6" ht="45.95" customHeight="1" x14ac:dyDescent="0.25">
      <c r="B16" s="26" t="s">
        <v>5</v>
      </c>
      <c r="C16" s="27">
        <f>Office!$F$40</f>
        <v>0.33333333333333331</v>
      </c>
      <c r="D16" s="28">
        <f t="shared" si="0"/>
        <v>0.33333333333333331</v>
      </c>
      <c r="E16" s="29" t="str">
        <f>TEXT(Office!$F$40,"0%")&amp;" would pre-order lunch to skip a typical "&amp;TEXT(Office!$B$53,"0")&amp;"-minute queue."</f>
        <v>33% would pre-order lunch to skip a typical 10-minute queue.</v>
      </c>
      <c r="F16" s="30" t="s">
        <v>51</v>
      </c>
    </row>
    <row r="17" spans="2:6" ht="45.95" customHeight="1" x14ac:dyDescent="0.25">
      <c r="B17" s="26" t="s">
        <v>5</v>
      </c>
      <c r="C17" s="27">
        <f>Office!$F$47</f>
        <v>0.16666666666666666</v>
      </c>
      <c r="D17" s="28">
        <f t="shared" si="0"/>
        <v>0.16666666666666666</v>
      </c>
      <c r="E17" s="29" t="str">
        <f>TEXT(Office!$F$47,"0%")&amp;" would share meal data with their employer; "&amp;TEXT(Office!$F$48,"0%")&amp;" would share anonymous totals only."</f>
        <v>17% would share meal data with their employer; 50% would share anonymous totals only.</v>
      </c>
      <c r="F17" s="30" t="s">
        <v>52</v>
      </c>
    </row>
  </sheetData>
  <mergeCells count="2">
    <mergeCell ref="B2:F2"/>
    <mergeCell ref="B1:F1"/>
  </mergeCells>
  <conditionalFormatting sqref="D5">
    <cfRule type="dataBar" priority="1">
      <dataBar showValue="0">
        <cfvo type="num" val="0"/>
        <cfvo type="num" val="1"/>
        <color rgb="FF1E7A44"/>
      </dataBar>
    </cfRule>
  </conditionalFormatting>
  <conditionalFormatting sqref="D6">
    <cfRule type="dataBar" priority="2">
      <dataBar showValue="0">
        <cfvo type="num" val="0"/>
        <cfvo type="num" val="1"/>
        <color rgb="FF1E7A44"/>
      </dataBar>
    </cfRule>
  </conditionalFormatting>
  <conditionalFormatting sqref="D7">
    <cfRule type="dataBar" priority="3">
      <dataBar showValue="0">
        <cfvo type="num" val="0"/>
        <cfvo type="num" val="1"/>
        <color rgb="FF1E7A44"/>
      </dataBar>
    </cfRule>
  </conditionalFormatting>
  <conditionalFormatting sqref="D8">
    <cfRule type="dataBar" priority="4">
      <dataBar showValue="0">
        <cfvo type="num" val="0"/>
        <cfvo type="num" val="1"/>
        <color rgb="FF1E7A44"/>
      </dataBar>
    </cfRule>
  </conditionalFormatting>
  <conditionalFormatting sqref="D9">
    <cfRule type="dataBar" priority="5">
      <dataBar showValue="0">
        <cfvo type="num" val="0"/>
        <cfvo type="num" val="1"/>
        <color rgb="FFC2671A"/>
      </dataBar>
    </cfRule>
  </conditionalFormatting>
  <conditionalFormatting sqref="D10">
    <cfRule type="dataBar" priority="6">
      <dataBar showValue="0">
        <cfvo type="num" val="0"/>
        <cfvo type="num" val="1"/>
        <color rgb="FFC2671A"/>
      </dataBar>
    </cfRule>
  </conditionalFormatting>
  <conditionalFormatting sqref="D11">
    <cfRule type="dataBar" priority="7">
      <dataBar showValue="0">
        <cfvo type="num" val="0"/>
        <cfvo type="num" val="1"/>
        <color rgb="FFC2671A"/>
      </dataBar>
    </cfRule>
  </conditionalFormatting>
  <conditionalFormatting sqref="D12">
    <cfRule type="dataBar" priority="8">
      <dataBar showValue="0">
        <cfvo type="num" val="0"/>
        <cfvo type="num" val="1"/>
        <color rgb="FF2A5FB0"/>
      </dataBar>
    </cfRule>
  </conditionalFormatting>
  <conditionalFormatting sqref="D13">
    <cfRule type="dataBar" priority="9">
      <dataBar showValue="0">
        <cfvo type="num" val="0"/>
        <cfvo type="num" val="1"/>
        <color rgb="FF2A5FB0"/>
      </dataBar>
    </cfRule>
  </conditionalFormatting>
  <conditionalFormatting sqref="D14">
    <cfRule type="dataBar" priority="10">
      <dataBar showValue="0">
        <cfvo type="num" val="0"/>
        <cfvo type="num" val="1"/>
        <color rgb="FF2A5FB0"/>
      </dataBar>
    </cfRule>
  </conditionalFormatting>
  <conditionalFormatting sqref="D15">
    <cfRule type="dataBar" priority="11">
      <dataBar showValue="0">
        <cfvo type="num" val="0"/>
        <cfvo type="num" val="1"/>
        <color rgb="FF5145C4"/>
      </dataBar>
    </cfRule>
  </conditionalFormatting>
  <conditionalFormatting sqref="D16">
    <cfRule type="dataBar" priority="12">
      <dataBar showValue="0">
        <cfvo type="num" val="0"/>
        <cfvo type="num" val="1"/>
        <color rgb="FF5145C4"/>
      </dataBar>
    </cfRule>
  </conditionalFormatting>
  <conditionalFormatting sqref="D17">
    <cfRule type="dataBar" priority="13">
      <dataBar showValue="0">
        <cfvo type="num" val="0"/>
        <cfvo type="num" val="1"/>
        <color rgb="FF5145C4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7A44"/>
  </sheetPr>
  <dimension ref="B1:O5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2" customWidth="1"/>
    <col min="2" max="15" width="11" customWidth="1"/>
  </cols>
  <sheetData>
    <row r="1" spans="2:15" ht="33.950000000000003" customHeight="1" x14ac:dyDescent="0.25">
      <c r="B1" s="111" t="s">
        <v>2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spans="2:15" x14ac:dyDescent="0.25">
      <c r="B2" s="31" t="str">
        <f>COUNTA(Students_Data!$A$2:$A$1000)&amp;" responses · PlateLoop answer: Loopi"</f>
        <v>30 responses · PlateLoop answer: Loopi</v>
      </c>
    </row>
    <row r="4" spans="2:15" ht="44.1" customHeight="1" x14ac:dyDescent="0.25">
      <c r="B4" s="74" t="str">
        <f>INDEX(Students!$B$25:$B$29,MATCH(MAX(Students!$F$25:$F$29),Students!$F$25:$F$29,0))</f>
        <v>Portion too big</v>
      </c>
      <c r="C4" s="61"/>
      <c r="D4" s="61"/>
      <c r="E4" s="62">
        <f>MAX(Students!$F$25:$F$29)</f>
        <v>0.43333333333333335</v>
      </c>
      <c r="F4" s="61"/>
      <c r="G4" s="61"/>
      <c r="H4" s="62">
        <f>Students!$F$48</f>
        <v>0.56666666666666665</v>
      </c>
      <c r="I4" s="61"/>
      <c r="J4" s="61"/>
      <c r="K4" s="84">
        <f>Students!$F$57</f>
        <v>3.9666666666666668</v>
      </c>
      <c r="L4" s="61"/>
      <c r="M4" s="61"/>
    </row>
    <row r="5" spans="2:15" ht="30" customHeight="1" x14ac:dyDescent="0.25">
      <c r="B5" s="60" t="s">
        <v>8</v>
      </c>
      <c r="C5" s="61"/>
      <c r="D5" s="61"/>
      <c r="E5" s="60" t="s">
        <v>9</v>
      </c>
      <c r="F5" s="61"/>
      <c r="G5" s="61"/>
      <c r="H5" s="60" t="s">
        <v>10</v>
      </c>
      <c r="I5" s="61"/>
      <c r="J5" s="61"/>
      <c r="K5" s="60" t="s">
        <v>11</v>
      </c>
      <c r="L5" s="61"/>
      <c r="M5" s="61"/>
    </row>
    <row r="8" spans="2:15" ht="21.95" customHeight="1" x14ac:dyDescent="0.25">
      <c r="B8" s="106" t="s">
        <v>53</v>
      </c>
      <c r="C8" s="70"/>
      <c r="D8" s="70"/>
      <c r="E8" s="70"/>
      <c r="F8" s="70"/>
      <c r="G8" s="70"/>
      <c r="H8" s="70"/>
    </row>
    <row r="9" spans="2:15" x14ac:dyDescent="0.25">
      <c r="B9" s="108" t="s">
        <v>54</v>
      </c>
      <c r="C9" s="70"/>
      <c r="D9" s="70"/>
      <c r="E9" s="1" t="s">
        <v>55</v>
      </c>
      <c r="F9" s="1" t="s">
        <v>56</v>
      </c>
      <c r="G9" s="92"/>
      <c r="H9" s="70"/>
    </row>
    <row r="10" spans="2:15" x14ac:dyDescent="0.25">
      <c r="B10" s="104" t="s">
        <v>57</v>
      </c>
      <c r="C10" s="105"/>
      <c r="D10" s="105"/>
      <c r="E10" s="32">
        <f>COUNTIF(Students_Data!$B$2:$B$1000,B10)</f>
        <v>22</v>
      </c>
      <c r="F10" s="33">
        <f>IFERROR(E10/SUM($E$10:$E$11),0)</f>
        <v>0.73333333333333328</v>
      </c>
      <c r="G10" s="107">
        <f>F10</f>
        <v>0.73333333333333328</v>
      </c>
      <c r="H10" s="105"/>
    </row>
    <row r="11" spans="2:15" x14ac:dyDescent="0.25">
      <c r="B11" s="102" t="s">
        <v>58</v>
      </c>
      <c r="C11" s="103"/>
      <c r="D11" s="103"/>
      <c r="E11" s="34">
        <f>COUNTIF(Students_Data!$B$2:$B$1000,B11)</f>
        <v>8</v>
      </c>
      <c r="F11" s="35">
        <f>IFERROR(E11/SUM($E$10:$E$11),0)</f>
        <v>0.26666666666666666</v>
      </c>
      <c r="G11" s="109">
        <f>F11</f>
        <v>0.26666666666666666</v>
      </c>
      <c r="H11" s="103"/>
    </row>
    <row r="14" spans="2:15" ht="21.95" customHeight="1" x14ac:dyDescent="0.25">
      <c r="B14" s="106" t="s">
        <v>59</v>
      </c>
      <c r="C14" s="70"/>
      <c r="D14" s="70"/>
      <c r="E14" s="70"/>
      <c r="F14" s="70"/>
      <c r="G14" s="70"/>
      <c r="H14" s="70"/>
    </row>
    <row r="15" spans="2:15" x14ac:dyDescent="0.25">
      <c r="B15" s="108" t="s">
        <v>54</v>
      </c>
      <c r="C15" s="70"/>
      <c r="D15" s="70"/>
      <c r="E15" s="1" t="s">
        <v>55</v>
      </c>
      <c r="F15" s="1" t="s">
        <v>56</v>
      </c>
      <c r="G15" s="92"/>
      <c r="H15" s="70"/>
    </row>
    <row r="16" spans="2:15" x14ac:dyDescent="0.25">
      <c r="B16" s="104" t="s">
        <v>60</v>
      </c>
      <c r="C16" s="105"/>
      <c r="D16" s="105"/>
      <c r="E16" s="32">
        <f>COUNTIF(Students_Data!$C$2:$C$1000,B16)</f>
        <v>3</v>
      </c>
      <c r="F16" s="33">
        <f>IFERROR(E16/SUM($E$16:$E$20),0)</f>
        <v>0.1</v>
      </c>
      <c r="G16" s="107">
        <f>F16</f>
        <v>0.1</v>
      </c>
      <c r="H16" s="105"/>
    </row>
    <row r="17" spans="2:8" x14ac:dyDescent="0.25">
      <c r="B17" s="102" t="s">
        <v>61</v>
      </c>
      <c r="C17" s="103"/>
      <c r="D17" s="103"/>
      <c r="E17" s="34">
        <f>COUNTIF(Students_Data!$C$2:$C$1000,B17)</f>
        <v>9</v>
      </c>
      <c r="F17" s="35">
        <f>IFERROR(E17/SUM($E$16:$E$20),0)</f>
        <v>0.3</v>
      </c>
      <c r="G17" s="109">
        <f>F17</f>
        <v>0.3</v>
      </c>
      <c r="H17" s="103"/>
    </row>
    <row r="18" spans="2:8" x14ac:dyDescent="0.25">
      <c r="B18" s="104" t="s">
        <v>62</v>
      </c>
      <c r="C18" s="105"/>
      <c r="D18" s="105"/>
      <c r="E18" s="32">
        <f>COUNTIF(Students_Data!$C$2:$C$1000,B18)</f>
        <v>10</v>
      </c>
      <c r="F18" s="33">
        <f>IFERROR(E18/SUM($E$16:$E$20),0)</f>
        <v>0.33333333333333331</v>
      </c>
      <c r="G18" s="107">
        <f>F18</f>
        <v>0.33333333333333331</v>
      </c>
      <c r="H18" s="105"/>
    </row>
    <row r="19" spans="2:8" x14ac:dyDescent="0.25">
      <c r="B19" s="102" t="s">
        <v>63</v>
      </c>
      <c r="C19" s="103"/>
      <c r="D19" s="103"/>
      <c r="E19" s="34">
        <f>COUNTIF(Students_Data!$C$2:$C$1000,B19)</f>
        <v>6</v>
      </c>
      <c r="F19" s="35">
        <f>IFERROR(E19/SUM($E$16:$E$20),0)</f>
        <v>0.2</v>
      </c>
      <c r="G19" s="109">
        <f>F19</f>
        <v>0.2</v>
      </c>
      <c r="H19" s="103"/>
    </row>
    <row r="20" spans="2:8" x14ac:dyDescent="0.25">
      <c r="B20" s="104" t="s">
        <v>64</v>
      </c>
      <c r="C20" s="105"/>
      <c r="D20" s="105"/>
      <c r="E20" s="32">
        <f>COUNTIF(Students_Data!$C$2:$C$1000,B20)</f>
        <v>2</v>
      </c>
      <c r="F20" s="33">
        <f>IFERROR(E20/SUM($E$16:$E$20),0)</f>
        <v>6.6666666666666666E-2</v>
      </c>
      <c r="G20" s="107">
        <f>F20</f>
        <v>6.6666666666666666E-2</v>
      </c>
      <c r="H20" s="105"/>
    </row>
    <row r="23" spans="2:8" ht="21.95" customHeight="1" x14ac:dyDescent="0.25">
      <c r="B23" s="106" t="s">
        <v>65</v>
      </c>
      <c r="C23" s="70"/>
      <c r="D23" s="70"/>
      <c r="E23" s="70"/>
      <c r="F23" s="70"/>
      <c r="G23" s="70"/>
      <c r="H23" s="70"/>
    </row>
    <row r="24" spans="2:8" x14ac:dyDescent="0.25">
      <c r="B24" s="108" t="s">
        <v>54</v>
      </c>
      <c r="C24" s="70"/>
      <c r="D24" s="70"/>
      <c r="E24" s="1" t="s">
        <v>55</v>
      </c>
      <c r="F24" s="1" t="s">
        <v>56</v>
      </c>
      <c r="G24" s="92"/>
      <c r="H24" s="70"/>
    </row>
    <row r="25" spans="2:8" x14ac:dyDescent="0.25">
      <c r="B25" s="104" t="s">
        <v>66</v>
      </c>
      <c r="C25" s="105"/>
      <c r="D25" s="105"/>
      <c r="E25" s="32">
        <f>COUNTIF(Students_Data!$D$2:$D$1000,B25)</f>
        <v>13</v>
      </c>
      <c r="F25" s="33">
        <f>IFERROR(E25/SUM($E$25:$E$29),0)</f>
        <v>0.43333333333333335</v>
      </c>
      <c r="G25" s="107">
        <f>F25</f>
        <v>0.43333333333333335</v>
      </c>
      <c r="H25" s="105"/>
    </row>
    <row r="26" spans="2:8" x14ac:dyDescent="0.25">
      <c r="B26" s="102" t="s">
        <v>67</v>
      </c>
      <c r="C26" s="103"/>
      <c r="D26" s="103"/>
      <c r="E26" s="34">
        <f>COUNTIF(Students_Data!$D$2:$D$1000,B26)</f>
        <v>5</v>
      </c>
      <c r="F26" s="35">
        <f>IFERROR(E26/SUM($E$25:$E$29),0)</f>
        <v>0.16666666666666666</v>
      </c>
      <c r="G26" s="109">
        <f>F26</f>
        <v>0.16666666666666666</v>
      </c>
      <c r="H26" s="103"/>
    </row>
    <row r="27" spans="2:8" x14ac:dyDescent="0.25">
      <c r="B27" s="104" t="s">
        <v>68</v>
      </c>
      <c r="C27" s="105"/>
      <c r="D27" s="105"/>
      <c r="E27" s="32">
        <f>COUNTIF(Students_Data!$D$2:$D$1000,B27)</f>
        <v>8</v>
      </c>
      <c r="F27" s="33">
        <f>IFERROR(E27/SUM($E$25:$E$29),0)</f>
        <v>0.26666666666666666</v>
      </c>
      <c r="G27" s="107">
        <f>F27</f>
        <v>0.26666666666666666</v>
      </c>
      <c r="H27" s="105"/>
    </row>
    <row r="28" spans="2:8" x14ac:dyDescent="0.25">
      <c r="B28" s="102" t="s">
        <v>69</v>
      </c>
      <c r="C28" s="103"/>
      <c r="D28" s="103"/>
      <c r="E28" s="34">
        <f>COUNTIF(Students_Data!$D$2:$D$1000,B28)</f>
        <v>3</v>
      </c>
      <c r="F28" s="35">
        <f>IFERROR(E28/SUM($E$25:$E$29),0)</f>
        <v>0.1</v>
      </c>
      <c r="G28" s="109">
        <f>F28</f>
        <v>0.1</v>
      </c>
      <c r="H28" s="103"/>
    </row>
    <row r="29" spans="2:8" x14ac:dyDescent="0.25">
      <c r="B29" s="104" t="s">
        <v>70</v>
      </c>
      <c r="C29" s="105"/>
      <c r="D29" s="105"/>
      <c r="E29" s="32">
        <f>COUNTIF(Students_Data!$D$2:$D$1000,B29)</f>
        <v>1</v>
      </c>
      <c r="F29" s="33">
        <f>IFERROR(E29/SUM($E$25:$E$29),0)</f>
        <v>3.3333333333333333E-2</v>
      </c>
      <c r="G29" s="107">
        <f>F29</f>
        <v>3.3333333333333333E-2</v>
      </c>
      <c r="H29" s="105"/>
    </row>
    <row r="32" spans="2:8" ht="32.1" customHeight="1" x14ac:dyDescent="0.25">
      <c r="B32" s="106" t="s">
        <v>71</v>
      </c>
      <c r="C32" s="70"/>
      <c r="D32" s="70"/>
      <c r="E32" s="70"/>
      <c r="F32" s="70"/>
      <c r="G32" s="70"/>
      <c r="H32" s="70"/>
    </row>
    <row r="33" spans="2:8" x14ac:dyDescent="0.25">
      <c r="B33" s="108" t="s">
        <v>54</v>
      </c>
      <c r="C33" s="70"/>
      <c r="D33" s="70"/>
      <c r="E33" s="1" t="s">
        <v>55</v>
      </c>
      <c r="F33" s="1" t="s">
        <v>56</v>
      </c>
      <c r="G33" s="92"/>
      <c r="H33" s="70"/>
    </row>
    <row r="34" spans="2:8" x14ac:dyDescent="0.25">
      <c r="B34" s="104" t="s">
        <v>72</v>
      </c>
      <c r="C34" s="105"/>
      <c r="D34" s="105"/>
      <c r="E34" s="32">
        <f>COUNTIF(Students_Data!$E$2:$E$1000,B34)</f>
        <v>14</v>
      </c>
      <c r="F34" s="33">
        <f>IFERROR(E34/SUM($E$34:$E$36),0)</f>
        <v>0.46666666666666667</v>
      </c>
      <c r="G34" s="107">
        <f>F34</f>
        <v>0.46666666666666667</v>
      </c>
      <c r="H34" s="105"/>
    </row>
    <row r="35" spans="2:8" x14ac:dyDescent="0.25">
      <c r="B35" s="102" t="s">
        <v>73</v>
      </c>
      <c r="C35" s="103"/>
      <c r="D35" s="103"/>
      <c r="E35" s="34">
        <f>COUNTIF(Students_Data!$E$2:$E$1000,B35)</f>
        <v>10</v>
      </c>
      <c r="F35" s="35">
        <f>IFERROR(E35/SUM($E$34:$E$36),0)</f>
        <v>0.33333333333333331</v>
      </c>
      <c r="G35" s="109">
        <f>F35</f>
        <v>0.33333333333333331</v>
      </c>
      <c r="H35" s="103"/>
    </row>
    <row r="36" spans="2:8" x14ac:dyDescent="0.25">
      <c r="B36" s="104" t="s">
        <v>74</v>
      </c>
      <c r="C36" s="105"/>
      <c r="D36" s="105"/>
      <c r="E36" s="32">
        <f>COUNTIF(Students_Data!$E$2:$E$1000,B36)</f>
        <v>6</v>
      </c>
      <c r="F36" s="33">
        <f>IFERROR(E36/SUM($E$34:$E$36),0)</f>
        <v>0.2</v>
      </c>
      <c r="G36" s="107">
        <f>F36</f>
        <v>0.2</v>
      </c>
      <c r="H36" s="105"/>
    </row>
    <row r="39" spans="2:8" ht="21.95" customHeight="1" x14ac:dyDescent="0.25">
      <c r="B39" s="106" t="s">
        <v>75</v>
      </c>
      <c r="C39" s="70"/>
      <c r="D39" s="70"/>
      <c r="E39" s="70"/>
      <c r="F39" s="70"/>
      <c r="G39" s="70"/>
      <c r="H39" s="70"/>
    </row>
    <row r="40" spans="2:8" x14ac:dyDescent="0.25">
      <c r="B40" s="108" t="s">
        <v>54</v>
      </c>
      <c r="C40" s="70"/>
      <c r="D40" s="70"/>
      <c r="E40" s="1" t="s">
        <v>55</v>
      </c>
      <c r="F40" s="1" t="s">
        <v>56</v>
      </c>
      <c r="G40" s="92"/>
      <c r="H40" s="70"/>
    </row>
    <row r="41" spans="2:8" x14ac:dyDescent="0.25">
      <c r="B41" s="104" t="s">
        <v>72</v>
      </c>
      <c r="C41" s="105"/>
      <c r="D41" s="105"/>
      <c r="E41" s="32">
        <f>COUNTIF(Students_Data!$F$2:$F$1000,B41)</f>
        <v>11</v>
      </c>
      <c r="F41" s="33">
        <f>IFERROR(E41/SUM($E$41:$E$43),0)</f>
        <v>0.36666666666666664</v>
      </c>
      <c r="G41" s="107">
        <f>F41</f>
        <v>0.36666666666666664</v>
      </c>
      <c r="H41" s="105"/>
    </row>
    <row r="42" spans="2:8" x14ac:dyDescent="0.25">
      <c r="B42" s="102" t="s">
        <v>62</v>
      </c>
      <c r="C42" s="103"/>
      <c r="D42" s="103"/>
      <c r="E42" s="34">
        <f>COUNTIF(Students_Data!$F$2:$F$1000,B42)</f>
        <v>8</v>
      </c>
      <c r="F42" s="35">
        <f>IFERROR(E42/SUM($E$41:$E$43),0)</f>
        <v>0.26666666666666666</v>
      </c>
      <c r="G42" s="109">
        <f>F42</f>
        <v>0.26666666666666666</v>
      </c>
      <c r="H42" s="103"/>
    </row>
    <row r="43" spans="2:8" x14ac:dyDescent="0.25">
      <c r="B43" s="104" t="s">
        <v>74</v>
      </c>
      <c r="C43" s="105"/>
      <c r="D43" s="105"/>
      <c r="E43" s="32">
        <f>COUNTIF(Students_Data!$F$2:$F$1000,B43)</f>
        <v>11</v>
      </c>
      <c r="F43" s="33">
        <f>IFERROR(E43/SUM($E$41:$E$43),0)</f>
        <v>0.36666666666666664</v>
      </c>
      <c r="G43" s="107">
        <f>F43</f>
        <v>0.36666666666666664</v>
      </c>
      <c r="H43" s="105"/>
    </row>
    <row r="46" spans="2:8" ht="21.95" customHeight="1" x14ac:dyDescent="0.25">
      <c r="B46" s="106" t="s">
        <v>76</v>
      </c>
      <c r="C46" s="70"/>
      <c r="D46" s="70"/>
      <c r="E46" s="70"/>
      <c r="F46" s="70"/>
      <c r="G46" s="70"/>
      <c r="H46" s="70"/>
    </row>
    <row r="47" spans="2:8" x14ac:dyDescent="0.25">
      <c r="B47" s="108" t="s">
        <v>54</v>
      </c>
      <c r="C47" s="70"/>
      <c r="D47" s="70"/>
      <c r="E47" s="1" t="s">
        <v>55</v>
      </c>
      <c r="F47" s="1" t="s">
        <v>56</v>
      </c>
      <c r="G47" s="92"/>
      <c r="H47" s="70"/>
    </row>
    <row r="48" spans="2:8" x14ac:dyDescent="0.25">
      <c r="B48" s="104" t="s">
        <v>77</v>
      </c>
      <c r="C48" s="105"/>
      <c r="D48" s="105"/>
      <c r="E48" s="32">
        <f>COUNTIF(Students_Data!$H$2:$H$1000,B48)</f>
        <v>17</v>
      </c>
      <c r="F48" s="33">
        <f>IFERROR(E48/SUM($E$48:$E$51),0)</f>
        <v>0.56666666666666665</v>
      </c>
      <c r="G48" s="107">
        <f>F48</f>
        <v>0.56666666666666665</v>
      </c>
      <c r="H48" s="105"/>
    </row>
    <row r="49" spans="2:8" x14ac:dyDescent="0.25">
      <c r="B49" s="102" t="s">
        <v>78</v>
      </c>
      <c r="C49" s="103"/>
      <c r="D49" s="103"/>
      <c r="E49" s="34">
        <f>COUNTIF(Students_Data!$H$2:$H$1000,B49)</f>
        <v>3</v>
      </c>
      <c r="F49" s="35">
        <f>IFERROR(E49/SUM($E$48:$E$51),0)</f>
        <v>0.1</v>
      </c>
      <c r="G49" s="109">
        <f>F49</f>
        <v>0.1</v>
      </c>
      <c r="H49" s="103"/>
    </row>
    <row r="50" spans="2:8" x14ac:dyDescent="0.25">
      <c r="B50" s="104" t="s">
        <v>79</v>
      </c>
      <c r="C50" s="105"/>
      <c r="D50" s="105"/>
      <c r="E50" s="32">
        <f>COUNTIF(Students_Data!$H$2:$H$1000,B50)</f>
        <v>7</v>
      </c>
      <c r="F50" s="33">
        <f>IFERROR(E50/SUM($E$48:$E$51),0)</f>
        <v>0.23333333333333334</v>
      </c>
      <c r="G50" s="107">
        <f>F50</f>
        <v>0.23333333333333334</v>
      </c>
      <c r="H50" s="105"/>
    </row>
    <row r="51" spans="2:8" x14ac:dyDescent="0.25">
      <c r="B51" s="102" t="s">
        <v>80</v>
      </c>
      <c r="C51" s="103"/>
      <c r="D51" s="103"/>
      <c r="E51" s="34">
        <f>COUNTIF(Students_Data!$H$2:$H$1000,B51)</f>
        <v>3</v>
      </c>
      <c r="F51" s="35">
        <f>IFERROR(E51/SUM($E$48:$E$51),0)</f>
        <v>0.1</v>
      </c>
      <c r="G51" s="109">
        <f>F51</f>
        <v>0.1</v>
      </c>
      <c r="H51" s="103"/>
    </row>
    <row r="54" spans="2:8" ht="21.95" customHeight="1" x14ac:dyDescent="0.25">
      <c r="B54" s="106" t="s">
        <v>81</v>
      </c>
      <c r="C54" s="70"/>
      <c r="D54" s="70"/>
      <c r="E54" s="70"/>
      <c r="F54" s="70"/>
      <c r="G54" s="70"/>
      <c r="H54" s="70"/>
    </row>
    <row r="55" spans="2:8" x14ac:dyDescent="0.25">
      <c r="B55" s="108" t="s">
        <v>82</v>
      </c>
      <c r="C55" s="70"/>
      <c r="D55" s="70"/>
      <c r="E55" s="70"/>
      <c r="F55" s="1" t="s">
        <v>83</v>
      </c>
      <c r="G55" s="1" t="s">
        <v>84</v>
      </c>
      <c r="H55" s="1"/>
    </row>
    <row r="56" spans="2:8" ht="30" customHeight="1" x14ac:dyDescent="0.25">
      <c r="B56" s="110" t="s">
        <v>85</v>
      </c>
      <c r="C56" s="105"/>
      <c r="D56" s="105"/>
      <c r="E56" s="105"/>
      <c r="F56" s="36">
        <f>IFERROR(AVERAGE(Students_Data!$G$2:$G$1000),0)</f>
        <v>3.7333333333333334</v>
      </c>
      <c r="G56" s="33">
        <f>IFERROR(COUNTIF(Students_Data!$G$2:$G$1000,"&gt;=4")/COUNT(Students_Data!$G$2:$G$1000),0)</f>
        <v>0.6</v>
      </c>
      <c r="H56" s="37">
        <f>G56</f>
        <v>0.6</v>
      </c>
    </row>
    <row r="57" spans="2:8" ht="30" customHeight="1" x14ac:dyDescent="0.25">
      <c r="B57" s="110" t="s">
        <v>86</v>
      </c>
      <c r="C57" s="105"/>
      <c r="D57" s="105"/>
      <c r="E57" s="105"/>
      <c r="F57" s="36">
        <f>IFERROR(AVERAGE(Students_Data!$I$2:$I$1000),0)</f>
        <v>3.9666666666666668</v>
      </c>
      <c r="G57" s="33">
        <f>IFERROR(COUNTIF(Students_Data!$I$2:$I$1000,"&gt;=4")/COUNT(Students_Data!$I$2:$I$1000),0)</f>
        <v>0.66666666666666663</v>
      </c>
      <c r="H57" s="37">
        <f>G57</f>
        <v>0.66666666666666663</v>
      </c>
    </row>
    <row r="58" spans="2:8" ht="30" customHeight="1" x14ac:dyDescent="0.25">
      <c r="B58" s="110" t="s">
        <v>87</v>
      </c>
      <c r="C58" s="105"/>
      <c r="D58" s="105"/>
      <c r="E58" s="105"/>
      <c r="F58" s="36">
        <f>IFERROR(AVERAGE(Students_Data!$J$2:$J$1000),0)</f>
        <v>4.166666666666667</v>
      </c>
      <c r="G58" s="33">
        <f>IFERROR(COUNTIF(Students_Data!$J$2:$J$1000,"&gt;=4")/COUNT(Students_Data!$J$2:$J$1000),0)</f>
        <v>0.73333333333333328</v>
      </c>
      <c r="H58" s="37">
        <f>G58</f>
        <v>0.73333333333333328</v>
      </c>
    </row>
    <row r="59" spans="2:8" ht="30" customHeight="1" x14ac:dyDescent="0.25">
      <c r="B59" s="110" t="s">
        <v>88</v>
      </c>
      <c r="C59" s="105"/>
      <c r="D59" s="105"/>
      <c r="E59" s="105"/>
      <c r="F59" s="36">
        <f>IFERROR(AVERAGE(Students_Data!$K$2:$K$1000),0)</f>
        <v>3.0666666666666669</v>
      </c>
      <c r="G59" s="33">
        <f>IFERROR(COUNTIF(Students_Data!$K$2:$K$1000,"&gt;=4")/COUNT(Students_Data!$K$2:$K$1000),0)</f>
        <v>0.43333333333333335</v>
      </c>
      <c r="H59" s="37">
        <f>G59</f>
        <v>0.43333333333333335</v>
      </c>
    </row>
  </sheetData>
  <mergeCells count="77">
    <mergeCell ref="B1:O1"/>
    <mergeCell ref="B26:D26"/>
    <mergeCell ref="B16:D16"/>
    <mergeCell ref="G29:H29"/>
    <mergeCell ref="B14:H14"/>
    <mergeCell ref="E5:G5"/>
    <mergeCell ref="B18:D18"/>
    <mergeCell ref="B27:D27"/>
    <mergeCell ref="G10:H10"/>
    <mergeCell ref="G19:H19"/>
    <mergeCell ref="B40:D40"/>
    <mergeCell ref="G28:H28"/>
    <mergeCell ref="B59:E59"/>
    <mergeCell ref="B15:D15"/>
    <mergeCell ref="B24:D24"/>
    <mergeCell ref="B33:D33"/>
    <mergeCell ref="G47:H47"/>
    <mergeCell ref="G40:H40"/>
    <mergeCell ref="B58:E58"/>
    <mergeCell ref="B35:D35"/>
    <mergeCell ref="B50:D50"/>
    <mergeCell ref="B39:H39"/>
    <mergeCell ref="B25:D25"/>
    <mergeCell ref="G51:H51"/>
    <mergeCell ref="B57:E57"/>
    <mergeCell ref="G41:H41"/>
    <mergeCell ref="G50:H50"/>
    <mergeCell ref="G43:H43"/>
    <mergeCell ref="G27:H27"/>
    <mergeCell ref="G36:H36"/>
    <mergeCell ref="B29:D29"/>
    <mergeCell ref="B55:E55"/>
    <mergeCell ref="B49:D49"/>
    <mergeCell ref="B51:D51"/>
    <mergeCell ref="B46:H46"/>
    <mergeCell ref="B56:E56"/>
    <mergeCell ref="G48:H48"/>
    <mergeCell ref="B10:D10"/>
    <mergeCell ref="B19:D19"/>
    <mergeCell ref="B9:D9"/>
    <mergeCell ref="B54:H54"/>
    <mergeCell ref="G49:H49"/>
    <mergeCell ref="B36:D36"/>
    <mergeCell ref="G24:H24"/>
    <mergeCell ref="G33:H33"/>
    <mergeCell ref="G26:H26"/>
    <mergeCell ref="B47:D47"/>
    <mergeCell ref="G35:H35"/>
    <mergeCell ref="G16:H16"/>
    <mergeCell ref="G25:H25"/>
    <mergeCell ref="G9:H9"/>
    <mergeCell ref="B48:D48"/>
    <mergeCell ref="H5:J5"/>
    <mergeCell ref="B4:D4"/>
    <mergeCell ref="G20:H20"/>
    <mergeCell ref="K5:M5"/>
    <mergeCell ref="B43:D43"/>
    <mergeCell ref="B17:D17"/>
    <mergeCell ref="B5:D5"/>
    <mergeCell ref="K4:M4"/>
    <mergeCell ref="B8:H8"/>
    <mergeCell ref="H4:J4"/>
    <mergeCell ref="G11:H11"/>
    <mergeCell ref="G42:H42"/>
    <mergeCell ref="B41:D41"/>
    <mergeCell ref="G15:H15"/>
    <mergeCell ref="B23:H23"/>
    <mergeCell ref="E4:G4"/>
    <mergeCell ref="B11:D11"/>
    <mergeCell ref="B42:D42"/>
    <mergeCell ref="B34:D34"/>
    <mergeCell ref="B28:D28"/>
    <mergeCell ref="B32:H32"/>
    <mergeCell ref="G18:H18"/>
    <mergeCell ref="B20:D20"/>
    <mergeCell ref="G34:H34"/>
    <mergeCell ref="G17:H17"/>
  </mergeCells>
  <conditionalFormatting sqref="G10:G11">
    <cfRule type="dataBar" priority="1">
      <dataBar showValue="0">
        <cfvo type="num" val="0"/>
        <cfvo type="num" val="1"/>
        <color rgb="FF1E7A44"/>
      </dataBar>
    </cfRule>
  </conditionalFormatting>
  <conditionalFormatting sqref="G16:G20">
    <cfRule type="dataBar" priority="2">
      <dataBar showValue="0">
        <cfvo type="num" val="0"/>
        <cfvo type="num" val="1"/>
        <color rgb="FF1E7A44"/>
      </dataBar>
    </cfRule>
  </conditionalFormatting>
  <conditionalFormatting sqref="G25:G29">
    <cfRule type="dataBar" priority="3">
      <dataBar showValue="0">
        <cfvo type="num" val="0"/>
        <cfvo type="num" val="1"/>
        <color rgb="FF1E7A44"/>
      </dataBar>
    </cfRule>
  </conditionalFormatting>
  <conditionalFormatting sqref="G34:G36">
    <cfRule type="dataBar" priority="4">
      <dataBar showValue="0">
        <cfvo type="num" val="0"/>
        <cfvo type="num" val="1"/>
        <color rgb="FF1E7A44"/>
      </dataBar>
    </cfRule>
  </conditionalFormatting>
  <conditionalFormatting sqref="G41:G43">
    <cfRule type="dataBar" priority="5">
      <dataBar showValue="0">
        <cfvo type="num" val="0"/>
        <cfvo type="num" val="1"/>
        <color rgb="FF1E7A44"/>
      </dataBar>
    </cfRule>
  </conditionalFormatting>
  <conditionalFormatting sqref="G48:G51">
    <cfRule type="dataBar" priority="6">
      <dataBar showValue="0">
        <cfvo type="num" val="0"/>
        <cfvo type="num" val="1"/>
        <color rgb="FF1E7A44"/>
      </dataBar>
    </cfRule>
  </conditionalFormatting>
  <conditionalFormatting sqref="H56:H59">
    <cfRule type="dataBar" priority="7">
      <dataBar showValue="0">
        <cfvo type="num" val="0"/>
        <cfvo type="num" val="1"/>
        <color rgb="FF1E7A44"/>
      </dataBar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2671A"/>
  </sheetPr>
  <dimension ref="B1:O52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2" customWidth="1"/>
    <col min="2" max="15" width="11" customWidth="1"/>
  </cols>
  <sheetData>
    <row r="1" spans="2:15" ht="33.950000000000003" customHeight="1" x14ac:dyDescent="0.25">
      <c r="B1" s="114" t="s">
        <v>3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spans="2:15" x14ac:dyDescent="0.25">
      <c r="B2" s="31" t="str">
        <f>COUNTA(Kitchen_Data!$A$2:$A$1000)&amp;" responses · PlateLoop answer: Kitchen dashboard"</f>
        <v>8 responses · PlateLoop answer: Kitchen dashboard</v>
      </c>
    </row>
    <row r="4" spans="2:15" ht="44.1" customHeight="1" x14ac:dyDescent="0.25">
      <c r="B4" s="85">
        <f>Kitchen!$F$17+Kitchen!$F$18</f>
        <v>0.625</v>
      </c>
      <c r="C4" s="64"/>
      <c r="D4" s="64"/>
      <c r="E4" s="85">
        <f>Kitchen!$F$29</f>
        <v>0.125</v>
      </c>
      <c r="F4" s="64"/>
      <c r="G4" s="64"/>
      <c r="H4" s="85">
        <f>Kitchen!$B$24/100</f>
        <v>0.2225</v>
      </c>
      <c r="I4" s="64"/>
      <c r="J4" s="64"/>
      <c r="K4" s="85">
        <f>Kitchen!$G$50</f>
        <v>1</v>
      </c>
      <c r="L4" s="64"/>
      <c r="M4" s="64"/>
    </row>
    <row r="5" spans="2:15" ht="30" customHeight="1" x14ac:dyDescent="0.25">
      <c r="B5" s="63" t="s">
        <v>15</v>
      </c>
      <c r="C5" s="64"/>
      <c r="D5" s="64"/>
      <c r="E5" s="63" t="s">
        <v>16</v>
      </c>
      <c r="F5" s="64"/>
      <c r="G5" s="64"/>
      <c r="H5" s="63" t="s">
        <v>17</v>
      </c>
      <c r="I5" s="64"/>
      <c r="J5" s="64"/>
      <c r="K5" s="63" t="s">
        <v>18</v>
      </c>
      <c r="L5" s="64"/>
      <c r="M5" s="64"/>
    </row>
    <row r="8" spans="2:15" ht="21.95" customHeight="1" x14ac:dyDescent="0.25">
      <c r="B8" s="106" t="s">
        <v>89</v>
      </c>
      <c r="C8" s="70"/>
      <c r="D8" s="70"/>
      <c r="E8" s="70"/>
      <c r="F8" s="70"/>
      <c r="G8" s="70"/>
      <c r="H8" s="70"/>
    </row>
    <row r="9" spans="2:15" x14ac:dyDescent="0.25">
      <c r="B9" s="113" t="s">
        <v>54</v>
      </c>
      <c r="C9" s="70"/>
      <c r="D9" s="70"/>
      <c r="E9" s="2" t="s">
        <v>55</v>
      </c>
      <c r="F9" s="2" t="s">
        <v>56</v>
      </c>
      <c r="G9" s="87"/>
      <c r="H9" s="70"/>
    </row>
    <row r="10" spans="2:15" x14ac:dyDescent="0.25">
      <c r="B10" s="104" t="s">
        <v>90</v>
      </c>
      <c r="C10" s="105"/>
      <c r="D10" s="105"/>
      <c r="E10" s="32">
        <f>COUNTIF(Kitchen_Data!$B$2:$B$1000,B10)</f>
        <v>4</v>
      </c>
      <c r="F10" s="38">
        <f>IFERROR(E10/SUM($E$10:$E$12),0)</f>
        <v>0.5</v>
      </c>
      <c r="G10" s="107">
        <f>F10</f>
        <v>0.5</v>
      </c>
      <c r="H10" s="105"/>
    </row>
    <row r="11" spans="2:15" x14ac:dyDescent="0.25">
      <c r="B11" s="102" t="s">
        <v>91</v>
      </c>
      <c r="C11" s="103"/>
      <c r="D11" s="103"/>
      <c r="E11" s="34">
        <f>COUNTIF(Kitchen_Data!$B$2:$B$1000,B11)</f>
        <v>2</v>
      </c>
      <c r="F11" s="39">
        <f>IFERROR(E11/SUM($E$10:$E$12),0)</f>
        <v>0.25</v>
      </c>
      <c r="G11" s="109">
        <f>F11</f>
        <v>0.25</v>
      </c>
      <c r="H11" s="103"/>
    </row>
    <row r="12" spans="2:15" x14ac:dyDescent="0.25">
      <c r="B12" s="104" t="s">
        <v>92</v>
      </c>
      <c r="C12" s="105"/>
      <c r="D12" s="105"/>
      <c r="E12" s="32">
        <f>COUNTIF(Kitchen_Data!$B$2:$B$1000,B12)</f>
        <v>2</v>
      </c>
      <c r="F12" s="38">
        <f>IFERROR(E12/SUM($E$10:$E$12),0)</f>
        <v>0.25</v>
      </c>
      <c r="G12" s="107">
        <f>F12</f>
        <v>0.25</v>
      </c>
      <c r="H12" s="105"/>
    </row>
    <row r="15" spans="2:15" ht="21.95" customHeight="1" x14ac:dyDescent="0.25">
      <c r="B15" s="106" t="s">
        <v>93</v>
      </c>
      <c r="C15" s="70"/>
      <c r="D15" s="70"/>
      <c r="E15" s="70"/>
      <c r="F15" s="70"/>
      <c r="G15" s="70"/>
      <c r="H15" s="70"/>
    </row>
    <row r="16" spans="2:15" x14ac:dyDescent="0.25">
      <c r="B16" s="113" t="s">
        <v>54</v>
      </c>
      <c r="C16" s="70"/>
      <c r="D16" s="70"/>
      <c r="E16" s="2" t="s">
        <v>55</v>
      </c>
      <c r="F16" s="2" t="s">
        <v>56</v>
      </c>
      <c r="G16" s="87"/>
      <c r="H16" s="70"/>
    </row>
    <row r="17" spans="2:9" x14ac:dyDescent="0.25">
      <c r="B17" s="104" t="s">
        <v>94</v>
      </c>
      <c r="C17" s="105"/>
      <c r="D17" s="105"/>
      <c r="E17" s="32">
        <f>COUNTIF(Kitchen_Data!$C$2:$C$1000,B17)</f>
        <v>0</v>
      </c>
      <c r="F17" s="38">
        <f>IFERROR(E17/SUM($E$17:$E$20),0)</f>
        <v>0</v>
      </c>
      <c r="G17" s="107">
        <f>F17</f>
        <v>0</v>
      </c>
      <c r="H17" s="105"/>
    </row>
    <row r="18" spans="2:9" x14ac:dyDescent="0.25">
      <c r="B18" s="102" t="s">
        <v>95</v>
      </c>
      <c r="C18" s="103"/>
      <c r="D18" s="103"/>
      <c r="E18" s="34">
        <f>COUNTIF(Kitchen_Data!$C$2:$C$1000,B18)</f>
        <v>5</v>
      </c>
      <c r="F18" s="39">
        <f>IFERROR(E18/SUM($E$17:$E$20),0)</f>
        <v>0.625</v>
      </c>
      <c r="G18" s="109">
        <f>F18</f>
        <v>0.625</v>
      </c>
      <c r="H18" s="103"/>
    </row>
    <row r="19" spans="2:9" x14ac:dyDescent="0.25">
      <c r="B19" s="104" t="s">
        <v>96</v>
      </c>
      <c r="C19" s="105"/>
      <c r="D19" s="105"/>
      <c r="E19" s="32">
        <f>COUNTIF(Kitchen_Data!$C$2:$C$1000,B19)</f>
        <v>2</v>
      </c>
      <c r="F19" s="38">
        <f>IFERROR(E19/SUM($E$17:$E$20),0)</f>
        <v>0.25</v>
      </c>
      <c r="G19" s="107">
        <f>F19</f>
        <v>0.25</v>
      </c>
      <c r="H19" s="105"/>
    </row>
    <row r="20" spans="2:9" x14ac:dyDescent="0.25">
      <c r="B20" s="102" t="s">
        <v>97</v>
      </c>
      <c r="C20" s="103"/>
      <c r="D20" s="103"/>
      <c r="E20" s="34">
        <f>COUNTIF(Kitchen_Data!$C$2:$C$1000,B20)</f>
        <v>1</v>
      </c>
      <c r="F20" s="39">
        <f>IFERROR(E20/SUM($E$17:$E$20),0)</f>
        <v>0.125</v>
      </c>
      <c r="G20" s="109">
        <f>F20</f>
        <v>0.125</v>
      </c>
      <c r="H20" s="103"/>
    </row>
    <row r="23" spans="2:9" ht="32.1" customHeight="1" x14ac:dyDescent="0.25">
      <c r="B23" s="106" t="s">
        <v>98</v>
      </c>
      <c r="C23" s="70"/>
      <c r="D23" s="70"/>
      <c r="E23" s="70"/>
      <c r="F23" s="70"/>
      <c r="G23" s="70"/>
      <c r="H23" s="70"/>
    </row>
    <row r="24" spans="2:9" ht="30" customHeight="1" x14ac:dyDescent="0.25">
      <c r="B24" s="112">
        <f>IFERROR(AVERAGE(Kitchen_Data!$D$2:$D$1000),0)</f>
        <v>22.25</v>
      </c>
      <c r="C24" s="64"/>
      <c r="D24" s="112">
        <f>IFERROR(MEDIAN(Kitchen_Data!$D$2:$D$1000),0)</f>
        <v>22.5</v>
      </c>
      <c r="E24" s="64"/>
      <c r="F24" s="112">
        <f>IFERROR(MIN(Kitchen_Data!$D$2:$D$1000),0)</f>
        <v>13</v>
      </c>
      <c r="G24" s="64"/>
      <c r="H24" s="112">
        <f>IFERROR(MAX(Kitchen_Data!$D$2:$D$1000),0)</f>
        <v>29</v>
      </c>
      <c r="I24" s="64"/>
    </row>
    <row r="25" spans="2:9" x14ac:dyDescent="0.25">
      <c r="B25" s="63" t="s">
        <v>83</v>
      </c>
      <c r="C25" s="64"/>
      <c r="D25" s="63" t="s">
        <v>99</v>
      </c>
      <c r="E25" s="64"/>
      <c r="F25" s="63" t="s">
        <v>100</v>
      </c>
      <c r="G25" s="64"/>
      <c r="H25" s="63" t="s">
        <v>101</v>
      </c>
      <c r="I25" s="64"/>
    </row>
    <row r="27" spans="2:9" ht="21.95" customHeight="1" x14ac:dyDescent="0.25">
      <c r="B27" s="106" t="s">
        <v>102</v>
      </c>
      <c r="C27" s="70"/>
      <c r="D27" s="70"/>
      <c r="E27" s="70"/>
      <c r="F27" s="70"/>
      <c r="G27" s="70"/>
      <c r="H27" s="70"/>
    </row>
    <row r="28" spans="2:9" x14ac:dyDescent="0.25">
      <c r="B28" s="113" t="s">
        <v>54</v>
      </c>
      <c r="C28" s="70"/>
      <c r="D28" s="70"/>
      <c r="E28" s="2" t="s">
        <v>55</v>
      </c>
      <c r="F28" s="2" t="s">
        <v>56</v>
      </c>
      <c r="G28" s="87"/>
      <c r="H28" s="70"/>
    </row>
    <row r="29" spans="2:9" x14ac:dyDescent="0.25">
      <c r="B29" s="104" t="s">
        <v>103</v>
      </c>
      <c r="C29" s="105"/>
      <c r="D29" s="105"/>
      <c r="E29" s="32">
        <f>COUNTIF(Kitchen_Data!$E$2:$E$1000,B29)</f>
        <v>1</v>
      </c>
      <c r="F29" s="38">
        <f>IFERROR(E29/SUM($E$29:$E$31),0)</f>
        <v>0.125</v>
      </c>
      <c r="G29" s="107">
        <f>F29</f>
        <v>0.125</v>
      </c>
      <c r="H29" s="105"/>
    </row>
    <row r="30" spans="2:9" x14ac:dyDescent="0.25">
      <c r="B30" s="102" t="s">
        <v>104</v>
      </c>
      <c r="C30" s="103"/>
      <c r="D30" s="103"/>
      <c r="E30" s="34">
        <f>COUNTIF(Kitchen_Data!$E$2:$E$1000,B30)</f>
        <v>6</v>
      </c>
      <c r="F30" s="39">
        <f>IFERROR(E30/SUM($E$29:$E$31),0)</f>
        <v>0.75</v>
      </c>
      <c r="G30" s="109">
        <f>F30</f>
        <v>0.75</v>
      </c>
      <c r="H30" s="103"/>
    </row>
    <row r="31" spans="2:9" x14ac:dyDescent="0.25">
      <c r="B31" s="104" t="s">
        <v>74</v>
      </c>
      <c r="C31" s="105"/>
      <c r="D31" s="105"/>
      <c r="E31" s="32">
        <f>COUNTIF(Kitchen_Data!$E$2:$E$1000,B31)</f>
        <v>1</v>
      </c>
      <c r="F31" s="38">
        <f>IFERROR(E31/SUM($E$29:$E$31),0)</f>
        <v>0.125</v>
      </c>
      <c r="G31" s="107">
        <f>F31</f>
        <v>0.125</v>
      </c>
      <c r="H31" s="105"/>
    </row>
    <row r="34" spans="2:9" ht="21.95" customHeight="1" x14ac:dyDescent="0.25">
      <c r="B34" s="106" t="s">
        <v>105</v>
      </c>
      <c r="C34" s="70"/>
      <c r="D34" s="70"/>
      <c r="E34" s="70"/>
      <c r="F34" s="70"/>
      <c r="G34" s="70"/>
      <c r="H34" s="70"/>
    </row>
    <row r="35" spans="2:9" x14ac:dyDescent="0.25">
      <c r="B35" s="113" t="s">
        <v>54</v>
      </c>
      <c r="C35" s="70"/>
      <c r="D35" s="70"/>
      <c r="E35" s="2" t="s">
        <v>55</v>
      </c>
      <c r="F35" s="2" t="s">
        <v>56</v>
      </c>
      <c r="G35" s="87"/>
      <c r="H35" s="70"/>
    </row>
    <row r="36" spans="2:9" x14ac:dyDescent="0.25">
      <c r="B36" s="104" t="s">
        <v>60</v>
      </c>
      <c r="C36" s="105"/>
      <c r="D36" s="105"/>
      <c r="E36" s="32">
        <f>COUNTIF(Kitchen_Data!$F$2:$F$1000,B36)</f>
        <v>1</v>
      </c>
      <c r="F36" s="38">
        <f>IFERROR(E36/SUM($E$36:$E$40),0)</f>
        <v>0.125</v>
      </c>
      <c r="G36" s="107">
        <f>F36</f>
        <v>0.125</v>
      </c>
      <c r="H36" s="105"/>
    </row>
    <row r="37" spans="2:9" x14ac:dyDescent="0.25">
      <c r="B37" s="102" t="s">
        <v>61</v>
      </c>
      <c r="C37" s="103"/>
      <c r="D37" s="103"/>
      <c r="E37" s="34">
        <f>COUNTIF(Kitchen_Data!$F$2:$F$1000,B37)</f>
        <v>0</v>
      </c>
      <c r="F37" s="39">
        <f>IFERROR(E37/SUM($E$36:$E$40),0)</f>
        <v>0</v>
      </c>
      <c r="G37" s="109">
        <f>F37</f>
        <v>0</v>
      </c>
      <c r="H37" s="103"/>
    </row>
    <row r="38" spans="2:9" x14ac:dyDescent="0.25">
      <c r="B38" s="104" t="s">
        <v>106</v>
      </c>
      <c r="C38" s="105"/>
      <c r="D38" s="105"/>
      <c r="E38" s="32">
        <f>COUNTIF(Kitchen_Data!$F$2:$F$1000,B38)</f>
        <v>4</v>
      </c>
      <c r="F38" s="38">
        <f>IFERROR(E38/SUM($E$36:$E$40),0)</f>
        <v>0.5</v>
      </c>
      <c r="G38" s="107">
        <f>F38</f>
        <v>0.5</v>
      </c>
      <c r="H38" s="105"/>
    </row>
    <row r="39" spans="2:9" x14ac:dyDescent="0.25">
      <c r="B39" s="102" t="s">
        <v>107</v>
      </c>
      <c r="C39" s="103"/>
      <c r="D39" s="103"/>
      <c r="E39" s="34">
        <f>COUNTIF(Kitchen_Data!$F$2:$F$1000,B39)</f>
        <v>3</v>
      </c>
      <c r="F39" s="39">
        <f>IFERROR(E39/SUM($E$36:$E$40),0)</f>
        <v>0.375</v>
      </c>
      <c r="G39" s="109">
        <f>F39</f>
        <v>0.375</v>
      </c>
      <c r="H39" s="103"/>
    </row>
    <row r="40" spans="2:9" x14ac:dyDescent="0.25">
      <c r="B40" s="104" t="s">
        <v>108</v>
      </c>
      <c r="C40" s="105"/>
      <c r="D40" s="105"/>
      <c r="E40" s="32">
        <f>COUNTIF(Kitchen_Data!$F$2:$F$1000,B40)</f>
        <v>0</v>
      </c>
      <c r="F40" s="38">
        <f>IFERROR(E40/SUM($E$36:$E$40),0)</f>
        <v>0</v>
      </c>
      <c r="G40" s="107">
        <f>F40</f>
        <v>0</v>
      </c>
      <c r="H40" s="105"/>
    </row>
    <row r="43" spans="2:9" ht="32.1" customHeight="1" x14ac:dyDescent="0.25">
      <c r="B43" s="106" t="s">
        <v>109</v>
      </c>
      <c r="C43" s="70"/>
      <c r="D43" s="70"/>
      <c r="E43" s="70"/>
      <c r="F43" s="70"/>
      <c r="G43" s="70"/>
      <c r="H43" s="70"/>
    </row>
    <row r="44" spans="2:9" ht="30" customHeight="1" x14ac:dyDescent="0.25">
      <c r="B44" s="112">
        <f>IFERROR(AVERAGE(Kitchen_Data!$J$2:$J$1000),0)</f>
        <v>32.125</v>
      </c>
      <c r="C44" s="64"/>
      <c r="D44" s="112">
        <f>IFERROR(MEDIAN(Kitchen_Data!$J$2:$J$1000),0)</f>
        <v>29</v>
      </c>
      <c r="E44" s="64"/>
      <c r="F44" s="112">
        <f>IFERROR(MIN(Kitchen_Data!$J$2:$J$1000),0)</f>
        <v>10</v>
      </c>
      <c r="G44" s="64"/>
      <c r="H44" s="112">
        <f>IFERROR(MAX(Kitchen_Data!$J$2:$J$1000),0)</f>
        <v>61</v>
      </c>
      <c r="I44" s="64"/>
    </row>
    <row r="45" spans="2:9" x14ac:dyDescent="0.25">
      <c r="B45" s="63" t="s">
        <v>83</v>
      </c>
      <c r="C45" s="64"/>
      <c r="D45" s="63" t="s">
        <v>99</v>
      </c>
      <c r="E45" s="64"/>
      <c r="F45" s="63" t="s">
        <v>100</v>
      </c>
      <c r="G45" s="64"/>
      <c r="H45" s="63" t="s">
        <v>101</v>
      </c>
      <c r="I45" s="64"/>
    </row>
    <row r="47" spans="2:9" ht="21.95" customHeight="1" x14ac:dyDescent="0.25">
      <c r="B47" s="106" t="s">
        <v>81</v>
      </c>
      <c r="C47" s="70"/>
      <c r="D47" s="70"/>
      <c r="E47" s="70"/>
      <c r="F47" s="70"/>
      <c r="G47" s="70"/>
      <c r="H47" s="70"/>
    </row>
    <row r="48" spans="2:9" x14ac:dyDescent="0.25">
      <c r="B48" s="113" t="s">
        <v>82</v>
      </c>
      <c r="C48" s="70"/>
      <c r="D48" s="70"/>
      <c r="E48" s="70"/>
      <c r="F48" s="2" t="s">
        <v>83</v>
      </c>
      <c r="G48" s="2" t="s">
        <v>84</v>
      </c>
      <c r="H48" s="2"/>
    </row>
    <row r="49" spans="2:8" ht="30" customHeight="1" x14ac:dyDescent="0.25">
      <c r="B49" s="110" t="s">
        <v>110</v>
      </c>
      <c r="C49" s="105"/>
      <c r="D49" s="105"/>
      <c r="E49" s="105"/>
      <c r="F49" s="36">
        <f>IFERROR(AVERAGE(Kitchen_Data!$G$2:$G$1000),0)</f>
        <v>4</v>
      </c>
      <c r="G49" s="38">
        <f>IFERROR(COUNTIF(Kitchen_Data!$G$2:$G$1000,"&gt;=4")/COUNT(Kitchen_Data!$G$2:$G$1000),0)</f>
        <v>0.75</v>
      </c>
      <c r="H49" s="37">
        <f>G49</f>
        <v>0.75</v>
      </c>
    </row>
    <row r="50" spans="2:8" ht="30" customHeight="1" x14ac:dyDescent="0.25">
      <c r="B50" s="110" t="s">
        <v>111</v>
      </c>
      <c r="C50" s="105"/>
      <c r="D50" s="105"/>
      <c r="E50" s="105"/>
      <c r="F50" s="36">
        <f>IFERROR(AVERAGE(Kitchen_Data!$H$2:$H$1000),0)</f>
        <v>4.75</v>
      </c>
      <c r="G50" s="38">
        <f>IFERROR(COUNTIF(Kitchen_Data!$H$2:$H$1000,"&gt;=4")/COUNT(Kitchen_Data!$H$2:$H$1000),0)</f>
        <v>1</v>
      </c>
      <c r="H50" s="37">
        <f>G50</f>
        <v>1</v>
      </c>
    </row>
    <row r="51" spans="2:8" ht="30" customHeight="1" x14ac:dyDescent="0.25">
      <c r="B51" s="110" t="s">
        <v>112</v>
      </c>
      <c r="C51" s="105"/>
      <c r="D51" s="105"/>
      <c r="E51" s="105"/>
      <c r="F51" s="36">
        <f>IFERROR(AVERAGE(Kitchen_Data!$I$2:$I$1000),0)</f>
        <v>3.625</v>
      </c>
      <c r="G51" s="38">
        <f>IFERROR(COUNTIF(Kitchen_Data!$I$2:$I$1000,"&gt;=4")/COUNT(Kitchen_Data!$I$2:$I$1000),0)</f>
        <v>0.375</v>
      </c>
      <c r="H51" s="37">
        <f>G51</f>
        <v>0.375</v>
      </c>
    </row>
    <row r="52" spans="2:8" ht="30" customHeight="1" x14ac:dyDescent="0.25">
      <c r="B52" s="110" t="s">
        <v>113</v>
      </c>
      <c r="C52" s="105"/>
      <c r="D52" s="105"/>
      <c r="E52" s="105"/>
      <c r="F52" s="36">
        <f>IFERROR(AVERAGE(Kitchen_Data!$K$2:$K$1000),0)</f>
        <v>3.5</v>
      </c>
      <c r="G52" s="38">
        <f>IFERROR(COUNTIF(Kitchen_Data!$K$2:$K$1000,"&gt;=4")/COUNT(Kitchen_Data!$K$2:$K$1000),0)</f>
        <v>0.5</v>
      </c>
      <c r="H52" s="37">
        <f>G52</f>
        <v>0.5</v>
      </c>
    </row>
  </sheetData>
  <mergeCells count="75">
    <mergeCell ref="B52:E52"/>
    <mergeCell ref="B4:D4"/>
    <mergeCell ref="B16:D16"/>
    <mergeCell ref="B23:H23"/>
    <mergeCell ref="D25:E25"/>
    <mergeCell ref="G29:H29"/>
    <mergeCell ref="B8:H8"/>
    <mergeCell ref="G20:H20"/>
    <mergeCell ref="B24:C24"/>
    <mergeCell ref="G35:H35"/>
    <mergeCell ref="D24:E24"/>
    <mergeCell ref="B31:D31"/>
    <mergeCell ref="G16:H16"/>
    <mergeCell ref="E5:G5"/>
    <mergeCell ref="H24:I24"/>
    <mergeCell ref="B45:C45"/>
    <mergeCell ref="B1:O1"/>
    <mergeCell ref="B44:C44"/>
    <mergeCell ref="B36:D36"/>
    <mergeCell ref="B5:D5"/>
    <mergeCell ref="B27:H27"/>
    <mergeCell ref="G30:H30"/>
    <mergeCell ref="K4:M4"/>
    <mergeCell ref="H5:J5"/>
    <mergeCell ref="B35:D35"/>
    <mergeCell ref="B43:H43"/>
    <mergeCell ref="K5:M5"/>
    <mergeCell ref="H4:J4"/>
    <mergeCell ref="B18:D18"/>
    <mergeCell ref="G31:H31"/>
    <mergeCell ref="E4:G4"/>
    <mergeCell ref="B12:D12"/>
    <mergeCell ref="B9:D9"/>
    <mergeCell ref="G37:H37"/>
    <mergeCell ref="B40:D40"/>
    <mergeCell ref="G28:H28"/>
    <mergeCell ref="B30:D30"/>
    <mergeCell ref="G18:H18"/>
    <mergeCell ref="B20:D20"/>
    <mergeCell ref="G9:H9"/>
    <mergeCell ref="B34:H34"/>
    <mergeCell ref="B10:D10"/>
    <mergeCell ref="B28:D28"/>
    <mergeCell ref="H25:I25"/>
    <mergeCell ref="B19:D19"/>
    <mergeCell ref="F24:G24"/>
    <mergeCell ref="G10:H10"/>
    <mergeCell ref="G19:H19"/>
    <mergeCell ref="B51:E51"/>
    <mergeCell ref="B29:D29"/>
    <mergeCell ref="G40:H40"/>
    <mergeCell ref="H44:I44"/>
    <mergeCell ref="G17:H17"/>
    <mergeCell ref="B38:D38"/>
    <mergeCell ref="G39:H39"/>
    <mergeCell ref="D45:E45"/>
    <mergeCell ref="B37:D37"/>
    <mergeCell ref="D44:E44"/>
    <mergeCell ref="G38:H38"/>
    <mergeCell ref="B50:E50"/>
    <mergeCell ref="F45:G45"/>
    <mergeCell ref="B47:H47"/>
    <mergeCell ref="H45:I45"/>
    <mergeCell ref="B48:E48"/>
    <mergeCell ref="B11:D11"/>
    <mergeCell ref="G12:H12"/>
    <mergeCell ref="B49:E49"/>
    <mergeCell ref="B25:C25"/>
    <mergeCell ref="G11:H11"/>
    <mergeCell ref="F25:G25"/>
    <mergeCell ref="B17:D17"/>
    <mergeCell ref="G36:H36"/>
    <mergeCell ref="B15:H15"/>
    <mergeCell ref="B39:D39"/>
    <mergeCell ref="F44:G44"/>
  </mergeCells>
  <conditionalFormatting sqref="G10:G12">
    <cfRule type="dataBar" priority="1">
      <dataBar showValue="0">
        <cfvo type="num" val="0"/>
        <cfvo type="num" val="1"/>
        <color rgb="FFC2671A"/>
      </dataBar>
    </cfRule>
  </conditionalFormatting>
  <conditionalFormatting sqref="G17:G20">
    <cfRule type="dataBar" priority="2">
      <dataBar showValue="0">
        <cfvo type="num" val="0"/>
        <cfvo type="num" val="1"/>
        <color rgb="FFC2671A"/>
      </dataBar>
    </cfRule>
  </conditionalFormatting>
  <conditionalFormatting sqref="G29:G31">
    <cfRule type="dataBar" priority="3">
      <dataBar showValue="0">
        <cfvo type="num" val="0"/>
        <cfvo type="num" val="1"/>
        <color rgb="FFC2671A"/>
      </dataBar>
    </cfRule>
  </conditionalFormatting>
  <conditionalFormatting sqref="G36:G40">
    <cfRule type="dataBar" priority="4">
      <dataBar showValue="0">
        <cfvo type="num" val="0"/>
        <cfvo type="num" val="1"/>
        <color rgb="FFC2671A"/>
      </dataBar>
    </cfRule>
  </conditionalFormatting>
  <conditionalFormatting sqref="H49:H52">
    <cfRule type="dataBar" priority="5">
      <dataBar showValue="0">
        <cfvo type="num" val="0"/>
        <cfvo type="num" val="1"/>
        <color rgb="FFC2671A"/>
      </dataBar>
    </cfRule>
  </conditionalFormatting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A5FB0"/>
  </sheetPr>
  <dimension ref="B1:O55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2" customWidth="1"/>
    <col min="2" max="15" width="11" customWidth="1"/>
  </cols>
  <sheetData>
    <row r="1" spans="2:15" ht="33.950000000000003" customHeight="1" x14ac:dyDescent="0.25">
      <c r="B1" s="117" t="s">
        <v>4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spans="2:15" x14ac:dyDescent="0.25">
      <c r="B2" s="31" t="str">
        <f>COUNTA(Hospital_Data!$A$2:$A$1000)&amp;" responses · PlateLoop answer: Loopi Care"</f>
        <v>6 responses · PlateLoop answer: Loopi Care</v>
      </c>
    </row>
    <row r="4" spans="2:15" ht="44.1" customHeight="1" x14ac:dyDescent="0.25">
      <c r="B4" s="90">
        <f>Hospital!$G$53</f>
        <v>0.16666666666666666</v>
      </c>
      <c r="C4" s="77"/>
      <c r="D4" s="77"/>
      <c r="E4" s="79">
        <f>Hospital!$B$24</f>
        <v>31.333333333333332</v>
      </c>
      <c r="F4" s="77"/>
      <c r="G4" s="77"/>
      <c r="H4" s="90">
        <f>Hospital!$F$29</f>
        <v>0.33333333333333331</v>
      </c>
      <c r="I4" s="77"/>
      <c r="J4" s="77"/>
      <c r="K4" s="90">
        <f>Hospital!$G$54</f>
        <v>1</v>
      </c>
      <c r="L4" s="77"/>
      <c r="M4" s="77"/>
    </row>
    <row r="5" spans="2:15" ht="30" customHeight="1" x14ac:dyDescent="0.25">
      <c r="B5" s="76" t="s">
        <v>22</v>
      </c>
      <c r="C5" s="77"/>
      <c r="D5" s="77"/>
      <c r="E5" s="76" t="s">
        <v>23</v>
      </c>
      <c r="F5" s="77"/>
      <c r="G5" s="77"/>
      <c r="H5" s="76" t="s">
        <v>24</v>
      </c>
      <c r="I5" s="77"/>
      <c r="J5" s="77"/>
      <c r="K5" s="76" t="s">
        <v>25</v>
      </c>
      <c r="L5" s="77"/>
      <c r="M5" s="77"/>
    </row>
    <row r="8" spans="2:15" ht="21.95" customHeight="1" x14ac:dyDescent="0.25">
      <c r="B8" s="106" t="s">
        <v>114</v>
      </c>
      <c r="C8" s="70"/>
      <c r="D8" s="70"/>
      <c r="E8" s="70"/>
      <c r="F8" s="70"/>
      <c r="G8" s="70"/>
      <c r="H8" s="70"/>
    </row>
    <row r="9" spans="2:15" x14ac:dyDescent="0.25">
      <c r="B9" s="115" t="s">
        <v>54</v>
      </c>
      <c r="C9" s="70"/>
      <c r="D9" s="70"/>
      <c r="E9" s="3" t="s">
        <v>55</v>
      </c>
      <c r="F9" s="3" t="s">
        <v>56</v>
      </c>
      <c r="G9" s="94"/>
      <c r="H9" s="70"/>
    </row>
    <row r="10" spans="2:15" x14ac:dyDescent="0.25">
      <c r="B10" s="104" t="s">
        <v>115</v>
      </c>
      <c r="C10" s="105"/>
      <c r="D10" s="105"/>
      <c r="E10" s="32">
        <f>COUNTIF(Hospital_Data!$B$2:$B$1000,B10)</f>
        <v>4</v>
      </c>
      <c r="F10" s="40">
        <f>IFERROR(E10/SUM($E$10:$E$12),0)</f>
        <v>0.66666666666666663</v>
      </c>
      <c r="G10" s="107">
        <f>F10</f>
        <v>0.66666666666666663</v>
      </c>
      <c r="H10" s="105"/>
    </row>
    <row r="11" spans="2:15" x14ac:dyDescent="0.25">
      <c r="B11" s="102" t="s">
        <v>116</v>
      </c>
      <c r="C11" s="103"/>
      <c r="D11" s="103"/>
      <c r="E11" s="34">
        <f>COUNTIF(Hospital_Data!$B$2:$B$1000,B11)</f>
        <v>2</v>
      </c>
      <c r="F11" s="41">
        <f>IFERROR(E11/SUM($E$10:$E$12),0)</f>
        <v>0.33333333333333331</v>
      </c>
      <c r="G11" s="109">
        <f>F11</f>
        <v>0.33333333333333331</v>
      </c>
      <c r="H11" s="103"/>
    </row>
    <row r="12" spans="2:15" x14ac:dyDescent="0.25">
      <c r="B12" s="104" t="s">
        <v>117</v>
      </c>
      <c r="C12" s="105"/>
      <c r="D12" s="105"/>
      <c r="E12" s="32">
        <f>COUNTIF(Hospital_Data!$B$2:$B$1000,B12)</f>
        <v>0</v>
      </c>
      <c r="F12" s="40">
        <f>IFERROR(E12/SUM($E$10:$E$12),0)</f>
        <v>0</v>
      </c>
      <c r="G12" s="107">
        <f>F12</f>
        <v>0</v>
      </c>
      <c r="H12" s="105"/>
    </row>
    <row r="15" spans="2:15" ht="21.95" customHeight="1" x14ac:dyDescent="0.25">
      <c r="B15" s="106" t="s">
        <v>118</v>
      </c>
      <c r="C15" s="70"/>
      <c r="D15" s="70"/>
      <c r="E15" s="70"/>
      <c r="F15" s="70"/>
      <c r="G15" s="70"/>
      <c r="H15" s="70"/>
    </row>
    <row r="16" spans="2:15" x14ac:dyDescent="0.25">
      <c r="B16" s="115" t="s">
        <v>54</v>
      </c>
      <c r="C16" s="70"/>
      <c r="D16" s="70"/>
      <c r="E16" s="3" t="s">
        <v>55</v>
      </c>
      <c r="F16" s="3" t="s">
        <v>56</v>
      </c>
      <c r="G16" s="94"/>
      <c r="H16" s="70"/>
    </row>
    <row r="17" spans="2:9" x14ac:dyDescent="0.25">
      <c r="B17" s="104" t="s">
        <v>119</v>
      </c>
      <c r="C17" s="105"/>
      <c r="D17" s="105"/>
      <c r="E17" s="32">
        <f>COUNTIF(Hospital_Data!$C$2:$C$1000,B17)</f>
        <v>3</v>
      </c>
      <c r="F17" s="40">
        <f>IFERROR(E17/SUM($E$17:$E$20),0)</f>
        <v>0.5</v>
      </c>
      <c r="G17" s="107">
        <f>F17</f>
        <v>0.5</v>
      </c>
      <c r="H17" s="105"/>
    </row>
    <row r="18" spans="2:9" x14ac:dyDescent="0.25">
      <c r="B18" s="102" t="s">
        <v>120</v>
      </c>
      <c r="C18" s="103"/>
      <c r="D18" s="103"/>
      <c r="E18" s="34">
        <f>COUNTIF(Hospital_Data!$C$2:$C$1000,B18)</f>
        <v>3</v>
      </c>
      <c r="F18" s="41">
        <f>IFERROR(E18/SUM($E$17:$E$20),0)</f>
        <v>0.5</v>
      </c>
      <c r="G18" s="109">
        <f>F18</f>
        <v>0.5</v>
      </c>
      <c r="H18" s="103"/>
    </row>
    <row r="19" spans="2:9" x14ac:dyDescent="0.25">
      <c r="B19" s="104" t="s">
        <v>121</v>
      </c>
      <c r="C19" s="105"/>
      <c r="D19" s="105"/>
      <c r="E19" s="32">
        <f>COUNTIF(Hospital_Data!$C$2:$C$1000,B19)</f>
        <v>0</v>
      </c>
      <c r="F19" s="40">
        <f>IFERROR(E19/SUM($E$17:$E$20),0)</f>
        <v>0</v>
      </c>
      <c r="G19" s="107">
        <f>F19</f>
        <v>0</v>
      </c>
      <c r="H19" s="105"/>
    </row>
    <row r="20" spans="2:9" x14ac:dyDescent="0.25">
      <c r="B20" s="102" t="s">
        <v>122</v>
      </c>
      <c r="C20" s="103"/>
      <c r="D20" s="103"/>
      <c r="E20" s="34">
        <f>COUNTIF(Hospital_Data!$C$2:$C$1000,B20)</f>
        <v>0</v>
      </c>
      <c r="F20" s="41">
        <f>IFERROR(E20/SUM($E$17:$E$20),0)</f>
        <v>0</v>
      </c>
      <c r="G20" s="109">
        <f>F20</f>
        <v>0</v>
      </c>
      <c r="H20" s="103"/>
    </row>
    <row r="23" spans="2:9" ht="32.1" customHeight="1" x14ac:dyDescent="0.25">
      <c r="B23" s="106" t="s">
        <v>123</v>
      </c>
      <c r="C23" s="70"/>
      <c r="D23" s="70"/>
      <c r="E23" s="70"/>
      <c r="F23" s="70"/>
      <c r="G23" s="70"/>
      <c r="H23" s="70"/>
    </row>
    <row r="24" spans="2:9" ht="30" customHeight="1" x14ac:dyDescent="0.25">
      <c r="B24" s="116">
        <f>IFERROR(AVERAGE(Hospital_Data!$E$2:$E$1000),0)</f>
        <v>31.333333333333332</v>
      </c>
      <c r="C24" s="77"/>
      <c r="D24" s="116">
        <f>IFERROR(MEDIAN(Hospital_Data!$E$2:$E$1000),0)</f>
        <v>34.5</v>
      </c>
      <c r="E24" s="77"/>
      <c r="F24" s="116">
        <f>IFERROR(MIN(Hospital_Data!$E$2:$E$1000),0)</f>
        <v>15</v>
      </c>
      <c r="G24" s="77"/>
      <c r="H24" s="116">
        <f>IFERROR(MAX(Hospital_Data!$E$2:$E$1000),0)</f>
        <v>43</v>
      </c>
      <c r="I24" s="77"/>
    </row>
    <row r="25" spans="2:9" x14ac:dyDescent="0.25">
      <c r="B25" s="76" t="s">
        <v>83</v>
      </c>
      <c r="C25" s="77"/>
      <c r="D25" s="76" t="s">
        <v>99</v>
      </c>
      <c r="E25" s="77"/>
      <c r="F25" s="76" t="s">
        <v>100</v>
      </c>
      <c r="G25" s="77"/>
      <c r="H25" s="76" t="s">
        <v>101</v>
      </c>
      <c r="I25" s="77"/>
    </row>
    <row r="27" spans="2:9" ht="21.95" customHeight="1" x14ac:dyDescent="0.25">
      <c r="B27" s="106" t="s">
        <v>124</v>
      </c>
      <c r="C27" s="70"/>
      <c r="D27" s="70"/>
      <c r="E27" s="70"/>
      <c r="F27" s="70"/>
      <c r="G27" s="70"/>
      <c r="H27" s="70"/>
    </row>
    <row r="28" spans="2:9" x14ac:dyDescent="0.25">
      <c r="B28" s="115" t="s">
        <v>54</v>
      </c>
      <c r="C28" s="70"/>
      <c r="D28" s="70"/>
      <c r="E28" s="3" t="s">
        <v>55</v>
      </c>
      <c r="F28" s="3" t="s">
        <v>56</v>
      </c>
      <c r="G28" s="94"/>
      <c r="H28" s="70"/>
    </row>
    <row r="29" spans="2:9" x14ac:dyDescent="0.25">
      <c r="B29" s="104" t="s">
        <v>125</v>
      </c>
      <c r="C29" s="105"/>
      <c r="D29" s="105"/>
      <c r="E29" s="32">
        <f>COUNTIF(Hospital_Data!$F$2:$F$1000,B29)</f>
        <v>2</v>
      </c>
      <c r="F29" s="40">
        <f>IFERROR(E29/SUM($E$29:$E$32),0)</f>
        <v>0.33333333333333331</v>
      </c>
      <c r="G29" s="107">
        <f>F29</f>
        <v>0.33333333333333331</v>
      </c>
      <c r="H29" s="105"/>
    </row>
    <row r="30" spans="2:9" x14ac:dyDescent="0.25">
      <c r="B30" s="102" t="s">
        <v>126</v>
      </c>
      <c r="C30" s="103"/>
      <c r="D30" s="103"/>
      <c r="E30" s="34">
        <f>COUNTIF(Hospital_Data!$F$2:$F$1000,B30)</f>
        <v>1</v>
      </c>
      <c r="F30" s="41">
        <f>IFERROR(E30/SUM($E$29:$E$32),0)</f>
        <v>0.16666666666666666</v>
      </c>
      <c r="G30" s="109">
        <f>F30</f>
        <v>0.16666666666666666</v>
      </c>
      <c r="H30" s="103"/>
    </row>
    <row r="31" spans="2:9" x14ac:dyDescent="0.25">
      <c r="B31" s="104" t="s">
        <v>127</v>
      </c>
      <c r="C31" s="105"/>
      <c r="D31" s="105"/>
      <c r="E31" s="32">
        <f>COUNTIF(Hospital_Data!$F$2:$F$1000,B31)</f>
        <v>2</v>
      </c>
      <c r="F31" s="40">
        <f>IFERROR(E31/SUM($E$29:$E$32),0)</f>
        <v>0.33333333333333331</v>
      </c>
      <c r="G31" s="107">
        <f>F31</f>
        <v>0.33333333333333331</v>
      </c>
      <c r="H31" s="105"/>
    </row>
    <row r="32" spans="2:9" x14ac:dyDescent="0.25">
      <c r="B32" s="102" t="s">
        <v>128</v>
      </c>
      <c r="C32" s="103"/>
      <c r="D32" s="103"/>
      <c r="E32" s="34">
        <f>COUNTIF(Hospital_Data!$F$2:$F$1000,B32)</f>
        <v>1</v>
      </c>
      <c r="F32" s="41">
        <f>IFERROR(E32/SUM($E$29:$E$32),0)</f>
        <v>0.16666666666666666</v>
      </c>
      <c r="G32" s="109">
        <f>F32</f>
        <v>0.16666666666666666</v>
      </c>
      <c r="H32" s="103"/>
    </row>
    <row r="35" spans="2:8" ht="21.95" customHeight="1" x14ac:dyDescent="0.25">
      <c r="B35" s="106" t="s">
        <v>129</v>
      </c>
      <c r="C35" s="70"/>
      <c r="D35" s="70"/>
      <c r="E35" s="70"/>
      <c r="F35" s="70"/>
      <c r="G35" s="70"/>
      <c r="H35" s="70"/>
    </row>
    <row r="36" spans="2:8" x14ac:dyDescent="0.25">
      <c r="B36" s="115" t="s">
        <v>54</v>
      </c>
      <c r="C36" s="70"/>
      <c r="D36" s="70"/>
      <c r="E36" s="3" t="s">
        <v>55</v>
      </c>
      <c r="F36" s="3" t="s">
        <v>56</v>
      </c>
      <c r="G36" s="94"/>
      <c r="H36" s="70"/>
    </row>
    <row r="37" spans="2:8" x14ac:dyDescent="0.25">
      <c r="B37" s="104" t="s">
        <v>130</v>
      </c>
      <c r="C37" s="105"/>
      <c r="D37" s="105"/>
      <c r="E37" s="32">
        <f>COUNTIF(Hospital_Data!$G$2:$G$1000,B37)</f>
        <v>4</v>
      </c>
      <c r="F37" s="40">
        <f>IFERROR(E37/SUM($E$37:$E$41),0)</f>
        <v>0.66666666666666663</v>
      </c>
      <c r="G37" s="107">
        <f>F37</f>
        <v>0.66666666666666663</v>
      </c>
      <c r="H37" s="105"/>
    </row>
    <row r="38" spans="2:8" x14ac:dyDescent="0.25">
      <c r="B38" s="102" t="s">
        <v>131</v>
      </c>
      <c r="C38" s="103"/>
      <c r="D38" s="103"/>
      <c r="E38" s="34">
        <f>COUNTIF(Hospital_Data!$G$2:$G$1000,B38)</f>
        <v>0</v>
      </c>
      <c r="F38" s="41">
        <f>IFERROR(E38/SUM($E$37:$E$41),0)</f>
        <v>0</v>
      </c>
      <c r="G38" s="109">
        <f>F38</f>
        <v>0</v>
      </c>
      <c r="H38" s="103"/>
    </row>
    <row r="39" spans="2:8" x14ac:dyDescent="0.25">
      <c r="B39" s="104" t="s">
        <v>66</v>
      </c>
      <c r="C39" s="105"/>
      <c r="D39" s="105"/>
      <c r="E39" s="32">
        <f>COUNTIF(Hospital_Data!$G$2:$G$1000,B39)</f>
        <v>0</v>
      </c>
      <c r="F39" s="40">
        <f>IFERROR(E39/SUM($E$37:$E$41),0)</f>
        <v>0</v>
      </c>
      <c r="G39" s="107">
        <f>F39</f>
        <v>0</v>
      </c>
      <c r="H39" s="105"/>
    </row>
    <row r="40" spans="2:8" x14ac:dyDescent="0.25">
      <c r="B40" s="102" t="s">
        <v>132</v>
      </c>
      <c r="C40" s="103"/>
      <c r="D40" s="103"/>
      <c r="E40" s="34">
        <f>COUNTIF(Hospital_Data!$G$2:$G$1000,B40)</f>
        <v>1</v>
      </c>
      <c r="F40" s="41">
        <f>IFERROR(E40/SUM($E$37:$E$41),0)</f>
        <v>0.16666666666666666</v>
      </c>
      <c r="G40" s="109">
        <f>F40</f>
        <v>0.16666666666666666</v>
      </c>
      <c r="H40" s="103"/>
    </row>
    <row r="41" spans="2:8" x14ac:dyDescent="0.25">
      <c r="B41" s="104" t="s">
        <v>133</v>
      </c>
      <c r="C41" s="105"/>
      <c r="D41" s="105"/>
      <c r="E41" s="32">
        <f>COUNTIF(Hospital_Data!$G$2:$G$1000,B41)</f>
        <v>1</v>
      </c>
      <c r="F41" s="40">
        <f>IFERROR(E41/SUM($E$37:$E$41),0)</f>
        <v>0.16666666666666666</v>
      </c>
      <c r="G41" s="107">
        <f>F41</f>
        <v>0.16666666666666666</v>
      </c>
      <c r="H41" s="105"/>
    </row>
    <row r="44" spans="2:8" ht="32.1" customHeight="1" x14ac:dyDescent="0.25">
      <c r="B44" s="106" t="s">
        <v>134</v>
      </c>
      <c r="C44" s="70"/>
      <c r="D44" s="70"/>
      <c r="E44" s="70"/>
      <c r="F44" s="70"/>
      <c r="G44" s="70"/>
      <c r="H44" s="70"/>
    </row>
    <row r="45" spans="2:8" x14ac:dyDescent="0.25">
      <c r="B45" s="115" t="s">
        <v>54</v>
      </c>
      <c r="C45" s="70"/>
      <c r="D45" s="70"/>
      <c r="E45" s="3" t="s">
        <v>55</v>
      </c>
      <c r="F45" s="3" t="s">
        <v>56</v>
      </c>
      <c r="G45" s="94"/>
      <c r="H45" s="70"/>
    </row>
    <row r="46" spans="2:8" x14ac:dyDescent="0.25">
      <c r="B46" s="104" t="s">
        <v>72</v>
      </c>
      <c r="C46" s="105"/>
      <c r="D46" s="105"/>
      <c r="E46" s="32">
        <f>COUNTIF(Hospital_Data!$J$2:$J$1000,B46)</f>
        <v>3</v>
      </c>
      <c r="F46" s="40">
        <f>IFERROR(E46/SUM($E$46:$E$48),0)</f>
        <v>0.5</v>
      </c>
      <c r="G46" s="107">
        <f>F46</f>
        <v>0.5</v>
      </c>
      <c r="H46" s="105"/>
    </row>
    <row r="47" spans="2:8" x14ac:dyDescent="0.25">
      <c r="B47" s="102" t="s">
        <v>73</v>
      </c>
      <c r="C47" s="103"/>
      <c r="D47" s="103"/>
      <c r="E47" s="34">
        <f>COUNTIF(Hospital_Data!$J$2:$J$1000,B47)</f>
        <v>3</v>
      </c>
      <c r="F47" s="41">
        <f>IFERROR(E47/SUM($E$46:$E$48),0)</f>
        <v>0.5</v>
      </c>
      <c r="G47" s="109">
        <f>F47</f>
        <v>0.5</v>
      </c>
      <c r="H47" s="103"/>
    </row>
    <row r="48" spans="2:8" x14ac:dyDescent="0.25">
      <c r="B48" s="104" t="s">
        <v>74</v>
      </c>
      <c r="C48" s="105"/>
      <c r="D48" s="105"/>
      <c r="E48" s="32">
        <f>COUNTIF(Hospital_Data!$J$2:$J$1000,B48)</f>
        <v>0</v>
      </c>
      <c r="F48" s="40">
        <f>IFERROR(E48/SUM($E$46:$E$48),0)</f>
        <v>0</v>
      </c>
      <c r="G48" s="107">
        <f>F48</f>
        <v>0</v>
      </c>
      <c r="H48" s="105"/>
    </row>
    <row r="51" spans="2:8" ht="21.95" customHeight="1" x14ac:dyDescent="0.25">
      <c r="B51" s="106" t="s">
        <v>81</v>
      </c>
      <c r="C51" s="70"/>
      <c r="D51" s="70"/>
      <c r="E51" s="70"/>
      <c r="F51" s="70"/>
      <c r="G51" s="70"/>
      <c r="H51" s="70"/>
    </row>
    <row r="52" spans="2:8" x14ac:dyDescent="0.25">
      <c r="B52" s="115" t="s">
        <v>82</v>
      </c>
      <c r="C52" s="70"/>
      <c r="D52" s="70"/>
      <c r="E52" s="70"/>
      <c r="F52" s="3" t="s">
        <v>83</v>
      </c>
      <c r="G52" s="3" t="s">
        <v>84</v>
      </c>
      <c r="H52" s="3"/>
    </row>
    <row r="53" spans="2:8" ht="30" customHeight="1" x14ac:dyDescent="0.25">
      <c r="B53" s="110" t="s">
        <v>135</v>
      </c>
      <c r="C53" s="105"/>
      <c r="D53" s="105"/>
      <c r="E53" s="105"/>
      <c r="F53" s="36">
        <f>IFERROR(AVERAGE(Hospital_Data!$D$2:$D$1000),0)</f>
        <v>2.1666666666666665</v>
      </c>
      <c r="G53" s="40">
        <f>IFERROR(COUNTIF(Hospital_Data!$D$2:$D$1000,"&gt;=4")/COUNT(Hospital_Data!$D$2:$D$1000),0)</f>
        <v>0.16666666666666666</v>
      </c>
      <c r="H53" s="37">
        <f>G53</f>
        <v>0.16666666666666666</v>
      </c>
    </row>
    <row r="54" spans="2:8" ht="30" customHeight="1" x14ac:dyDescent="0.25">
      <c r="B54" s="110" t="s">
        <v>136</v>
      </c>
      <c r="C54" s="105"/>
      <c r="D54" s="105"/>
      <c r="E54" s="105"/>
      <c r="F54" s="36">
        <f>IFERROR(AVERAGE(Hospital_Data!$H$2:$H$1000),0)</f>
        <v>4.5</v>
      </c>
      <c r="G54" s="40">
        <f>IFERROR(COUNTIF(Hospital_Data!$H$2:$H$1000,"&gt;=4")/COUNT(Hospital_Data!$H$2:$H$1000),0)</f>
        <v>1</v>
      </c>
      <c r="H54" s="37">
        <f>G54</f>
        <v>1</v>
      </c>
    </row>
    <row r="55" spans="2:8" ht="30" customHeight="1" x14ac:dyDescent="0.25">
      <c r="B55" s="110" t="s">
        <v>137</v>
      </c>
      <c r="C55" s="105"/>
      <c r="D55" s="105"/>
      <c r="E55" s="105"/>
      <c r="F55" s="36">
        <f>IFERROR(AVERAGE(Hospital_Data!$I$2:$I$1000),0)</f>
        <v>3.8333333333333335</v>
      </c>
      <c r="G55" s="40">
        <f>IFERROR(COUNTIF(Hospital_Data!$I$2:$I$1000,"&gt;=4")/COUNT(Hospital_Data!$I$2:$I$1000),0)</f>
        <v>0.66666666666666663</v>
      </c>
      <c r="H55" s="37">
        <f>G55</f>
        <v>0.66666666666666663</v>
      </c>
    </row>
  </sheetData>
  <mergeCells count="76">
    <mergeCell ref="B53:E53"/>
    <mergeCell ref="B31:D31"/>
    <mergeCell ref="G16:H16"/>
    <mergeCell ref="B46:D46"/>
    <mergeCell ref="H24:I24"/>
    <mergeCell ref="G32:H32"/>
    <mergeCell ref="B44:H44"/>
    <mergeCell ref="G47:H47"/>
    <mergeCell ref="G41:H41"/>
    <mergeCell ref="B18:D18"/>
    <mergeCell ref="G31:H31"/>
    <mergeCell ref="G46:H46"/>
    <mergeCell ref="B48:D48"/>
    <mergeCell ref="B41:D41"/>
    <mergeCell ref="K4:M4"/>
    <mergeCell ref="H5:J5"/>
    <mergeCell ref="B32:D32"/>
    <mergeCell ref="B52:E52"/>
    <mergeCell ref="B4:D4"/>
    <mergeCell ref="G45:H45"/>
    <mergeCell ref="B47:D47"/>
    <mergeCell ref="B16:D16"/>
    <mergeCell ref="B23:H23"/>
    <mergeCell ref="D25:E25"/>
    <mergeCell ref="G29:H29"/>
    <mergeCell ref="B8:H8"/>
    <mergeCell ref="G20:H20"/>
    <mergeCell ref="B24:C24"/>
    <mergeCell ref="D24:E24"/>
    <mergeCell ref="B1:O1"/>
    <mergeCell ref="B36:D36"/>
    <mergeCell ref="B5:D5"/>
    <mergeCell ref="B27:H27"/>
    <mergeCell ref="G30:H30"/>
    <mergeCell ref="E5:G5"/>
    <mergeCell ref="H4:J4"/>
    <mergeCell ref="K5:M5"/>
    <mergeCell ref="E4:G4"/>
    <mergeCell ref="B12:D12"/>
    <mergeCell ref="G9:H9"/>
    <mergeCell ref="B9:D9"/>
    <mergeCell ref="G37:H37"/>
    <mergeCell ref="B40:D40"/>
    <mergeCell ref="G28:H28"/>
    <mergeCell ref="B30:D30"/>
    <mergeCell ref="G18:H18"/>
    <mergeCell ref="B20:D20"/>
    <mergeCell ref="B10:D10"/>
    <mergeCell ref="B28:D28"/>
    <mergeCell ref="H25:I25"/>
    <mergeCell ref="B19:D19"/>
    <mergeCell ref="F24:G24"/>
    <mergeCell ref="G10:H10"/>
    <mergeCell ref="G19:H19"/>
    <mergeCell ref="G36:H36"/>
    <mergeCell ref="B55:E55"/>
    <mergeCell ref="B15:H15"/>
    <mergeCell ref="B39:D39"/>
    <mergeCell ref="B29:D29"/>
    <mergeCell ref="G40:H40"/>
    <mergeCell ref="B51:H51"/>
    <mergeCell ref="G48:H48"/>
    <mergeCell ref="G17:H17"/>
    <mergeCell ref="B38:D38"/>
    <mergeCell ref="G39:H39"/>
    <mergeCell ref="B37:D37"/>
    <mergeCell ref="G38:H38"/>
    <mergeCell ref="B35:H35"/>
    <mergeCell ref="B54:E54"/>
    <mergeCell ref="B45:D45"/>
    <mergeCell ref="B11:D11"/>
    <mergeCell ref="G12:H12"/>
    <mergeCell ref="B25:C25"/>
    <mergeCell ref="G11:H11"/>
    <mergeCell ref="F25:G25"/>
    <mergeCell ref="B17:D17"/>
  </mergeCells>
  <conditionalFormatting sqref="G10:G12">
    <cfRule type="dataBar" priority="1">
      <dataBar showValue="0">
        <cfvo type="num" val="0"/>
        <cfvo type="num" val="1"/>
        <color rgb="FF2A5FB0"/>
      </dataBar>
    </cfRule>
  </conditionalFormatting>
  <conditionalFormatting sqref="G17:G20">
    <cfRule type="dataBar" priority="2">
      <dataBar showValue="0">
        <cfvo type="num" val="0"/>
        <cfvo type="num" val="1"/>
        <color rgb="FF2A5FB0"/>
      </dataBar>
    </cfRule>
  </conditionalFormatting>
  <conditionalFormatting sqref="G29:G32">
    <cfRule type="dataBar" priority="3">
      <dataBar showValue="0">
        <cfvo type="num" val="0"/>
        <cfvo type="num" val="1"/>
        <color rgb="FF2A5FB0"/>
      </dataBar>
    </cfRule>
  </conditionalFormatting>
  <conditionalFormatting sqref="G37:G41">
    <cfRule type="dataBar" priority="4">
      <dataBar showValue="0">
        <cfvo type="num" val="0"/>
        <cfvo type="num" val="1"/>
        <color rgb="FF2A5FB0"/>
      </dataBar>
    </cfRule>
  </conditionalFormatting>
  <conditionalFormatting sqref="G46:G48">
    <cfRule type="dataBar" priority="5">
      <dataBar showValue="0">
        <cfvo type="num" val="0"/>
        <cfvo type="num" val="1"/>
        <color rgb="FF2A5FB0"/>
      </dataBar>
    </cfRule>
  </conditionalFormatting>
  <conditionalFormatting sqref="H53:H55">
    <cfRule type="dataBar" priority="6">
      <dataBar showValue="0">
        <cfvo type="num" val="0"/>
        <cfvo type="num" val="1"/>
        <color rgb="FF2A5FB0"/>
      </dataBar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145C4"/>
  </sheetPr>
  <dimension ref="B1:O5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2" customWidth="1"/>
    <col min="2" max="15" width="11" customWidth="1"/>
  </cols>
  <sheetData>
    <row r="1" spans="2:15" ht="33.950000000000003" customHeight="1" x14ac:dyDescent="0.25">
      <c r="B1" s="120" t="s">
        <v>5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spans="2:15" x14ac:dyDescent="0.25">
      <c r="B2" s="31" t="str">
        <f>COUNTA(Office_Data!$A$2:$A$1000)&amp;" responses · PlateLoop answer: Loopi Work"</f>
        <v>6 responses · PlateLoop answer: Loopi Work</v>
      </c>
    </row>
    <row r="4" spans="2:15" ht="44.1" customHeight="1" x14ac:dyDescent="0.25">
      <c r="B4" s="67">
        <f>Office!$G$58</f>
        <v>0.33333333333333331</v>
      </c>
      <c r="C4" s="68"/>
      <c r="D4" s="68"/>
      <c r="E4" s="67">
        <f>Office!$F$34+Office!$F$35</f>
        <v>0.5</v>
      </c>
      <c r="F4" s="68"/>
      <c r="G4" s="68"/>
      <c r="H4" s="67">
        <f>Office!$F$40</f>
        <v>0.33333333333333331</v>
      </c>
      <c r="I4" s="68"/>
      <c r="J4" s="68"/>
      <c r="K4" s="67">
        <f>Office!$F$48+Office!$F$49</f>
        <v>0.83333333333333326</v>
      </c>
      <c r="L4" s="68"/>
      <c r="M4" s="68"/>
    </row>
    <row r="5" spans="2:15" ht="30" customHeight="1" x14ac:dyDescent="0.25">
      <c r="B5" s="88" t="s">
        <v>29</v>
      </c>
      <c r="C5" s="68"/>
      <c r="D5" s="68"/>
      <c r="E5" s="88" t="s">
        <v>30</v>
      </c>
      <c r="F5" s="68"/>
      <c r="G5" s="68"/>
      <c r="H5" s="88" t="s">
        <v>31</v>
      </c>
      <c r="I5" s="68"/>
      <c r="J5" s="68"/>
      <c r="K5" s="88" t="s">
        <v>32</v>
      </c>
      <c r="L5" s="68"/>
      <c r="M5" s="68"/>
    </row>
    <row r="8" spans="2:15" ht="21.95" customHeight="1" x14ac:dyDescent="0.25">
      <c r="B8" s="106" t="s">
        <v>138</v>
      </c>
      <c r="C8" s="70"/>
      <c r="D8" s="70"/>
      <c r="E8" s="70"/>
      <c r="F8" s="70"/>
      <c r="G8" s="70"/>
      <c r="H8" s="70"/>
    </row>
    <row r="9" spans="2:15" x14ac:dyDescent="0.25">
      <c r="B9" s="119" t="s">
        <v>54</v>
      </c>
      <c r="C9" s="70"/>
      <c r="D9" s="70"/>
      <c r="E9" s="4" t="s">
        <v>55</v>
      </c>
      <c r="F9" s="4" t="s">
        <v>56</v>
      </c>
      <c r="G9" s="65"/>
      <c r="H9" s="70"/>
    </row>
    <row r="10" spans="2:15" x14ac:dyDescent="0.25">
      <c r="B10" s="104" t="s">
        <v>139</v>
      </c>
      <c r="C10" s="105"/>
      <c r="D10" s="105"/>
      <c r="E10" s="32">
        <f>COUNTIF(Office_Data!$B$2:$B$1000,B10)</f>
        <v>2</v>
      </c>
      <c r="F10" s="42">
        <f>IFERROR(E10/SUM($E$10:$E$13),0)</f>
        <v>0.33333333333333331</v>
      </c>
      <c r="G10" s="107">
        <f>F10</f>
        <v>0.33333333333333331</v>
      </c>
      <c r="H10" s="105"/>
    </row>
    <row r="11" spans="2:15" x14ac:dyDescent="0.25">
      <c r="B11" s="102" t="s">
        <v>140</v>
      </c>
      <c r="C11" s="103"/>
      <c r="D11" s="103"/>
      <c r="E11" s="34">
        <f>COUNTIF(Office_Data!$B$2:$B$1000,B11)</f>
        <v>3</v>
      </c>
      <c r="F11" s="43">
        <f>IFERROR(E11/SUM($E$10:$E$13),0)</f>
        <v>0.5</v>
      </c>
      <c r="G11" s="109">
        <f>F11</f>
        <v>0.5</v>
      </c>
      <c r="H11" s="103"/>
    </row>
    <row r="12" spans="2:15" x14ac:dyDescent="0.25">
      <c r="B12" s="104" t="s">
        <v>141</v>
      </c>
      <c r="C12" s="105"/>
      <c r="D12" s="105"/>
      <c r="E12" s="32">
        <f>COUNTIF(Office_Data!$B$2:$B$1000,B12)</f>
        <v>1</v>
      </c>
      <c r="F12" s="42">
        <f>IFERROR(E12/SUM($E$10:$E$13),0)</f>
        <v>0.16666666666666666</v>
      </c>
      <c r="G12" s="107">
        <f>F12</f>
        <v>0.16666666666666666</v>
      </c>
      <c r="H12" s="105"/>
    </row>
    <row r="13" spans="2:15" x14ac:dyDescent="0.25">
      <c r="B13" s="102" t="s">
        <v>142</v>
      </c>
      <c r="C13" s="103"/>
      <c r="D13" s="103"/>
      <c r="E13" s="34">
        <f>COUNTIF(Office_Data!$B$2:$B$1000,B13)</f>
        <v>0</v>
      </c>
      <c r="F13" s="43">
        <f>IFERROR(E13/SUM($E$10:$E$13),0)</f>
        <v>0</v>
      </c>
      <c r="G13" s="109">
        <f>F13</f>
        <v>0</v>
      </c>
      <c r="H13" s="103"/>
    </row>
    <row r="16" spans="2:15" ht="21.95" customHeight="1" x14ac:dyDescent="0.25">
      <c r="B16" s="106" t="s">
        <v>143</v>
      </c>
      <c r="C16" s="70"/>
      <c r="D16" s="70"/>
      <c r="E16" s="70"/>
      <c r="F16" s="70"/>
      <c r="G16" s="70"/>
      <c r="H16" s="70"/>
    </row>
    <row r="17" spans="2:9" ht="30" customHeight="1" x14ac:dyDescent="0.25">
      <c r="B17" s="118">
        <f>IFERROR(AVERAGE(Office_Data!$C$2:$C$1000),0)</f>
        <v>4</v>
      </c>
      <c r="C17" s="68"/>
      <c r="D17" s="118">
        <f>IFERROR(MEDIAN(Office_Data!$C$2:$C$1000),0)</f>
        <v>4</v>
      </c>
      <c r="E17" s="68"/>
      <c r="F17" s="118">
        <f>IFERROR(MIN(Office_Data!$C$2:$C$1000),0)</f>
        <v>2</v>
      </c>
      <c r="G17" s="68"/>
      <c r="H17" s="118">
        <f>IFERROR(MAX(Office_Data!$C$2:$C$1000),0)</f>
        <v>5</v>
      </c>
      <c r="I17" s="68"/>
    </row>
    <row r="18" spans="2:9" x14ac:dyDescent="0.25">
      <c r="B18" s="88" t="s">
        <v>83</v>
      </c>
      <c r="C18" s="68"/>
      <c r="D18" s="88" t="s">
        <v>99</v>
      </c>
      <c r="E18" s="68"/>
      <c r="F18" s="88" t="s">
        <v>100</v>
      </c>
      <c r="G18" s="68"/>
      <c r="H18" s="88" t="s">
        <v>101</v>
      </c>
      <c r="I18" s="68"/>
    </row>
    <row r="20" spans="2:9" ht="21.95" customHeight="1" x14ac:dyDescent="0.25">
      <c r="B20" s="106" t="s">
        <v>144</v>
      </c>
      <c r="C20" s="70"/>
      <c r="D20" s="70"/>
      <c r="E20" s="70"/>
      <c r="F20" s="70"/>
      <c r="G20" s="70"/>
      <c r="H20" s="70"/>
    </row>
    <row r="21" spans="2:9" x14ac:dyDescent="0.25">
      <c r="B21" s="119" t="s">
        <v>54</v>
      </c>
      <c r="C21" s="70"/>
      <c r="D21" s="70"/>
      <c r="E21" s="4" t="s">
        <v>55</v>
      </c>
      <c r="F21" s="4" t="s">
        <v>56</v>
      </c>
      <c r="G21" s="65"/>
      <c r="H21" s="70"/>
    </row>
    <row r="22" spans="2:9" x14ac:dyDescent="0.25">
      <c r="B22" s="104" t="s">
        <v>145</v>
      </c>
      <c r="C22" s="105"/>
      <c r="D22" s="105"/>
      <c r="E22" s="32">
        <f>COUNTIF(Office_Data!$D$2:$D$1000,B22)</f>
        <v>0</v>
      </c>
      <c r="F22" s="42">
        <f>IFERROR(E22/SUM($E$22:$E$26),0)</f>
        <v>0</v>
      </c>
      <c r="G22" s="107">
        <f>F22</f>
        <v>0</v>
      </c>
      <c r="H22" s="105"/>
    </row>
    <row r="23" spans="2:9" x14ac:dyDescent="0.25">
      <c r="B23" s="102" t="s">
        <v>146</v>
      </c>
      <c r="C23" s="103"/>
      <c r="D23" s="103"/>
      <c r="E23" s="34">
        <f>COUNTIF(Office_Data!$D$2:$D$1000,B23)</f>
        <v>1</v>
      </c>
      <c r="F23" s="43">
        <f>IFERROR(E23/SUM($E$22:$E$26),0)</f>
        <v>0.16666666666666666</v>
      </c>
      <c r="G23" s="109">
        <f>F23</f>
        <v>0.16666666666666666</v>
      </c>
      <c r="H23" s="103"/>
    </row>
    <row r="24" spans="2:9" x14ac:dyDescent="0.25">
      <c r="B24" s="104" t="s">
        <v>147</v>
      </c>
      <c r="C24" s="105"/>
      <c r="D24" s="105"/>
      <c r="E24" s="32">
        <f>COUNTIF(Office_Data!$D$2:$D$1000,B24)</f>
        <v>2</v>
      </c>
      <c r="F24" s="42">
        <f>IFERROR(E24/SUM($E$22:$E$26),0)</f>
        <v>0.33333333333333331</v>
      </c>
      <c r="G24" s="107">
        <f>F24</f>
        <v>0.33333333333333331</v>
      </c>
      <c r="H24" s="105"/>
    </row>
    <row r="25" spans="2:9" x14ac:dyDescent="0.25">
      <c r="B25" s="102" t="s">
        <v>148</v>
      </c>
      <c r="C25" s="103"/>
      <c r="D25" s="103"/>
      <c r="E25" s="34">
        <f>COUNTIF(Office_Data!$D$2:$D$1000,B25)</f>
        <v>2</v>
      </c>
      <c r="F25" s="43">
        <f>IFERROR(E25/SUM($E$22:$E$26),0)</f>
        <v>0.33333333333333331</v>
      </c>
      <c r="G25" s="109">
        <f>F25</f>
        <v>0.33333333333333331</v>
      </c>
      <c r="H25" s="103"/>
    </row>
    <row r="26" spans="2:9" x14ac:dyDescent="0.25">
      <c r="B26" s="104" t="s">
        <v>149</v>
      </c>
      <c r="C26" s="105"/>
      <c r="D26" s="105"/>
      <c r="E26" s="32">
        <f>COUNTIF(Office_Data!$D$2:$D$1000,B26)</f>
        <v>1</v>
      </c>
      <c r="F26" s="42">
        <f>IFERROR(E26/SUM($E$22:$E$26),0)</f>
        <v>0.16666666666666666</v>
      </c>
      <c r="G26" s="107">
        <f>F26</f>
        <v>0.16666666666666666</v>
      </c>
      <c r="H26" s="105"/>
    </row>
    <row r="29" spans="2:9" ht="21.95" customHeight="1" x14ac:dyDescent="0.25">
      <c r="B29" s="106" t="s">
        <v>150</v>
      </c>
      <c r="C29" s="70"/>
      <c r="D29" s="70"/>
      <c r="E29" s="70"/>
      <c r="F29" s="70"/>
      <c r="G29" s="70"/>
      <c r="H29" s="70"/>
    </row>
    <row r="30" spans="2:9" x14ac:dyDescent="0.25">
      <c r="B30" s="119" t="s">
        <v>54</v>
      </c>
      <c r="C30" s="70"/>
      <c r="D30" s="70"/>
      <c r="E30" s="4" t="s">
        <v>55</v>
      </c>
      <c r="F30" s="4" t="s">
        <v>56</v>
      </c>
      <c r="G30" s="65"/>
      <c r="H30" s="70"/>
    </row>
    <row r="31" spans="2:9" x14ac:dyDescent="0.25">
      <c r="B31" s="104" t="s">
        <v>60</v>
      </c>
      <c r="C31" s="105"/>
      <c r="D31" s="105"/>
      <c r="E31" s="32">
        <f>COUNTIF(Office_Data!$F$2:$F$1000,B31)</f>
        <v>0</v>
      </c>
      <c r="F31" s="42">
        <f>IFERROR(E31/SUM($E$31:$E$35),0)</f>
        <v>0</v>
      </c>
      <c r="G31" s="107">
        <f>F31</f>
        <v>0</v>
      </c>
      <c r="H31" s="105"/>
    </row>
    <row r="32" spans="2:9" x14ac:dyDescent="0.25">
      <c r="B32" s="102" t="s">
        <v>61</v>
      </c>
      <c r="C32" s="103"/>
      <c r="D32" s="103"/>
      <c r="E32" s="34">
        <f>COUNTIF(Office_Data!$F$2:$F$1000,B32)</f>
        <v>1</v>
      </c>
      <c r="F32" s="43">
        <f>IFERROR(E32/SUM($E$31:$E$35),0)</f>
        <v>0.16666666666666666</v>
      </c>
      <c r="G32" s="109">
        <f>F32</f>
        <v>0.16666666666666666</v>
      </c>
      <c r="H32" s="103"/>
    </row>
    <row r="33" spans="2:8" x14ac:dyDescent="0.25">
      <c r="B33" s="104" t="s">
        <v>62</v>
      </c>
      <c r="C33" s="105"/>
      <c r="D33" s="105"/>
      <c r="E33" s="32">
        <f>COUNTIF(Office_Data!$F$2:$F$1000,B33)</f>
        <v>2</v>
      </c>
      <c r="F33" s="42">
        <f>IFERROR(E33/SUM($E$31:$E$35),0)</f>
        <v>0.33333333333333331</v>
      </c>
      <c r="G33" s="107">
        <f>F33</f>
        <v>0.33333333333333331</v>
      </c>
      <c r="H33" s="105"/>
    </row>
    <row r="34" spans="2:8" x14ac:dyDescent="0.25">
      <c r="B34" s="102" t="s">
        <v>63</v>
      </c>
      <c r="C34" s="103"/>
      <c r="D34" s="103"/>
      <c r="E34" s="34">
        <f>COUNTIF(Office_Data!$F$2:$F$1000,B34)</f>
        <v>1</v>
      </c>
      <c r="F34" s="43">
        <f>IFERROR(E34/SUM($E$31:$E$35),0)</f>
        <v>0.16666666666666666</v>
      </c>
      <c r="G34" s="109">
        <f>F34</f>
        <v>0.16666666666666666</v>
      </c>
      <c r="H34" s="103"/>
    </row>
    <row r="35" spans="2:8" x14ac:dyDescent="0.25">
      <c r="B35" s="104" t="s">
        <v>108</v>
      </c>
      <c r="C35" s="105"/>
      <c r="D35" s="105"/>
      <c r="E35" s="32">
        <f>COUNTIF(Office_Data!$F$2:$F$1000,B35)</f>
        <v>2</v>
      </c>
      <c r="F35" s="42">
        <f>IFERROR(E35/SUM($E$31:$E$35),0)</f>
        <v>0.33333333333333331</v>
      </c>
      <c r="G35" s="107">
        <f>F35</f>
        <v>0.33333333333333331</v>
      </c>
      <c r="H35" s="105"/>
    </row>
    <row r="38" spans="2:8" ht="21.95" customHeight="1" x14ac:dyDescent="0.25">
      <c r="B38" s="106" t="s">
        <v>151</v>
      </c>
      <c r="C38" s="70"/>
      <c r="D38" s="70"/>
      <c r="E38" s="70"/>
      <c r="F38" s="70"/>
      <c r="G38" s="70"/>
      <c r="H38" s="70"/>
    </row>
    <row r="39" spans="2:8" x14ac:dyDescent="0.25">
      <c r="B39" s="119" t="s">
        <v>54</v>
      </c>
      <c r="C39" s="70"/>
      <c r="D39" s="70"/>
      <c r="E39" s="4" t="s">
        <v>55</v>
      </c>
      <c r="F39" s="4" t="s">
        <v>56</v>
      </c>
      <c r="G39" s="65"/>
      <c r="H39" s="70"/>
    </row>
    <row r="40" spans="2:8" x14ac:dyDescent="0.25">
      <c r="B40" s="104" t="s">
        <v>72</v>
      </c>
      <c r="C40" s="105"/>
      <c r="D40" s="105"/>
      <c r="E40" s="32">
        <f>COUNTIF(Office_Data!$G$2:$G$1000,B40)</f>
        <v>2</v>
      </c>
      <c r="F40" s="42">
        <f>IFERROR(E40/SUM($E$40:$E$42),0)</f>
        <v>0.33333333333333331</v>
      </c>
      <c r="G40" s="107">
        <f>F40</f>
        <v>0.33333333333333331</v>
      </c>
      <c r="H40" s="105"/>
    </row>
    <row r="41" spans="2:8" x14ac:dyDescent="0.25">
      <c r="B41" s="102" t="s">
        <v>73</v>
      </c>
      <c r="C41" s="103"/>
      <c r="D41" s="103"/>
      <c r="E41" s="34">
        <f>COUNTIF(Office_Data!$G$2:$G$1000,B41)</f>
        <v>2</v>
      </c>
      <c r="F41" s="43">
        <f>IFERROR(E41/SUM($E$40:$E$42),0)</f>
        <v>0.33333333333333331</v>
      </c>
      <c r="G41" s="109">
        <f>F41</f>
        <v>0.33333333333333331</v>
      </c>
      <c r="H41" s="103"/>
    </row>
    <row r="42" spans="2:8" x14ac:dyDescent="0.25">
      <c r="B42" s="104" t="s">
        <v>74</v>
      </c>
      <c r="C42" s="105"/>
      <c r="D42" s="105"/>
      <c r="E42" s="32">
        <f>COUNTIF(Office_Data!$G$2:$G$1000,B42)</f>
        <v>2</v>
      </c>
      <c r="F42" s="42">
        <f>IFERROR(E42/SUM($E$40:$E$42),0)</f>
        <v>0.33333333333333331</v>
      </c>
      <c r="G42" s="107">
        <f>F42</f>
        <v>0.33333333333333331</v>
      </c>
      <c r="H42" s="105"/>
    </row>
    <row r="45" spans="2:8" ht="21.95" customHeight="1" x14ac:dyDescent="0.25">
      <c r="B45" s="106" t="s">
        <v>152</v>
      </c>
      <c r="C45" s="70"/>
      <c r="D45" s="70"/>
      <c r="E45" s="70"/>
      <c r="F45" s="70"/>
      <c r="G45" s="70"/>
      <c r="H45" s="70"/>
    </row>
    <row r="46" spans="2:8" x14ac:dyDescent="0.25">
      <c r="B46" s="119" t="s">
        <v>54</v>
      </c>
      <c r="C46" s="70"/>
      <c r="D46" s="70"/>
      <c r="E46" s="4" t="s">
        <v>55</v>
      </c>
      <c r="F46" s="4" t="s">
        <v>56</v>
      </c>
      <c r="G46" s="65"/>
      <c r="H46" s="70"/>
    </row>
    <row r="47" spans="2:8" x14ac:dyDescent="0.25">
      <c r="B47" s="104" t="s">
        <v>72</v>
      </c>
      <c r="C47" s="105"/>
      <c r="D47" s="105"/>
      <c r="E47" s="32">
        <f>COUNTIF(Office_Data!$I$2:$I$1000,B47)</f>
        <v>1</v>
      </c>
      <c r="F47" s="42">
        <f>IFERROR(E47/SUM($E$47:$E$49),0)</f>
        <v>0.16666666666666666</v>
      </c>
      <c r="G47" s="107">
        <f>F47</f>
        <v>0.16666666666666666</v>
      </c>
      <c r="H47" s="105"/>
    </row>
    <row r="48" spans="2:8" x14ac:dyDescent="0.25">
      <c r="B48" s="102" t="s">
        <v>153</v>
      </c>
      <c r="C48" s="103"/>
      <c r="D48" s="103"/>
      <c r="E48" s="34">
        <f>COUNTIF(Office_Data!$I$2:$I$1000,B48)</f>
        <v>3</v>
      </c>
      <c r="F48" s="43">
        <f>IFERROR(E48/SUM($E$47:$E$49),0)</f>
        <v>0.5</v>
      </c>
      <c r="G48" s="109">
        <f>F48</f>
        <v>0.5</v>
      </c>
      <c r="H48" s="103"/>
    </row>
    <row r="49" spans="2:9" x14ac:dyDescent="0.25">
      <c r="B49" s="104" t="s">
        <v>74</v>
      </c>
      <c r="C49" s="105"/>
      <c r="D49" s="105"/>
      <c r="E49" s="32">
        <f>COUNTIF(Office_Data!$I$2:$I$1000,B49)</f>
        <v>2</v>
      </c>
      <c r="F49" s="42">
        <f>IFERROR(E49/SUM($E$47:$E$49),0)</f>
        <v>0.33333333333333331</v>
      </c>
      <c r="G49" s="107">
        <f>F49</f>
        <v>0.33333333333333331</v>
      </c>
      <c r="H49" s="105"/>
    </row>
    <row r="52" spans="2:9" ht="21.95" customHeight="1" x14ac:dyDescent="0.25">
      <c r="B52" s="106" t="s">
        <v>154</v>
      </c>
      <c r="C52" s="70"/>
      <c r="D52" s="70"/>
      <c r="E52" s="70"/>
      <c r="F52" s="70"/>
      <c r="G52" s="70"/>
      <c r="H52" s="70"/>
    </row>
    <row r="53" spans="2:9" ht="30" customHeight="1" x14ac:dyDescent="0.25">
      <c r="B53" s="118">
        <f>IFERROR(AVERAGE(Office_Data!$J$2:$J$1000),0)</f>
        <v>9.8333333333333339</v>
      </c>
      <c r="C53" s="68"/>
      <c r="D53" s="118">
        <f>IFERROR(MEDIAN(Office_Data!$J$2:$J$1000),0)</f>
        <v>10</v>
      </c>
      <c r="E53" s="68"/>
      <c r="F53" s="118">
        <f>IFERROR(MIN(Office_Data!$J$2:$J$1000),0)</f>
        <v>2</v>
      </c>
      <c r="G53" s="68"/>
      <c r="H53" s="118">
        <f>IFERROR(MAX(Office_Data!$J$2:$J$1000),0)</f>
        <v>16</v>
      </c>
      <c r="I53" s="68"/>
    </row>
    <row r="54" spans="2:9" x14ac:dyDescent="0.25">
      <c r="B54" s="88" t="s">
        <v>83</v>
      </c>
      <c r="C54" s="68"/>
      <c r="D54" s="88" t="s">
        <v>99</v>
      </c>
      <c r="E54" s="68"/>
      <c r="F54" s="88" t="s">
        <v>100</v>
      </c>
      <c r="G54" s="68"/>
      <c r="H54" s="88" t="s">
        <v>101</v>
      </c>
      <c r="I54" s="68"/>
    </row>
    <row r="56" spans="2:9" ht="21.95" customHeight="1" x14ac:dyDescent="0.25">
      <c r="B56" s="106" t="s">
        <v>81</v>
      </c>
      <c r="C56" s="70"/>
      <c r="D56" s="70"/>
      <c r="E56" s="70"/>
      <c r="F56" s="70"/>
      <c r="G56" s="70"/>
      <c r="H56" s="70"/>
    </row>
    <row r="57" spans="2:9" x14ac:dyDescent="0.25">
      <c r="B57" s="119" t="s">
        <v>82</v>
      </c>
      <c r="C57" s="70"/>
      <c r="D57" s="70"/>
      <c r="E57" s="70"/>
      <c r="F57" s="4" t="s">
        <v>83</v>
      </c>
      <c r="G57" s="4" t="s">
        <v>84</v>
      </c>
      <c r="H57" s="4"/>
    </row>
    <row r="58" spans="2:9" ht="30" customHeight="1" x14ac:dyDescent="0.25">
      <c r="B58" s="110" t="s">
        <v>155</v>
      </c>
      <c r="C58" s="105"/>
      <c r="D58" s="105"/>
      <c r="E58" s="105"/>
      <c r="F58" s="36">
        <f>IFERROR(AVERAGE(Office_Data!$E$2:$E$1000),0)</f>
        <v>2.5</v>
      </c>
      <c r="G58" s="42">
        <f>IFERROR(COUNTIF(Office_Data!$E$2:$E$1000,"&gt;=4")/COUNT(Office_Data!$E$2:$E$1000),0)</f>
        <v>0.33333333333333331</v>
      </c>
      <c r="H58" s="37">
        <f>G58</f>
        <v>0.33333333333333331</v>
      </c>
    </row>
    <row r="59" spans="2:9" ht="30" customHeight="1" x14ac:dyDescent="0.25">
      <c r="B59" s="110" t="s">
        <v>156</v>
      </c>
      <c r="C59" s="105"/>
      <c r="D59" s="105"/>
      <c r="E59" s="105"/>
      <c r="F59" s="36">
        <f>IFERROR(AVERAGE(Office_Data!$H$2:$H$1000),0)</f>
        <v>3.6666666666666665</v>
      </c>
      <c r="G59" s="42">
        <f>IFERROR(COUNTIF(Office_Data!$H$2:$H$1000,"&gt;=4")/COUNT(Office_Data!$H$2:$H$1000),0)</f>
        <v>0.66666666666666663</v>
      </c>
      <c r="H59" s="37">
        <f>G59</f>
        <v>0.66666666666666663</v>
      </c>
    </row>
  </sheetData>
  <mergeCells count="86">
    <mergeCell ref="B59:E59"/>
    <mergeCell ref="B24:D24"/>
    <mergeCell ref="B33:D33"/>
    <mergeCell ref="B1:O1"/>
    <mergeCell ref="G30:H30"/>
    <mergeCell ref="B32:D32"/>
    <mergeCell ref="B26:D26"/>
    <mergeCell ref="D18:E18"/>
    <mergeCell ref="G47:H47"/>
    <mergeCell ref="E5:G5"/>
    <mergeCell ref="H18:I18"/>
    <mergeCell ref="B38:H38"/>
    <mergeCell ref="G31:H31"/>
    <mergeCell ref="G46:H46"/>
    <mergeCell ref="G40:H40"/>
    <mergeCell ref="F53:G53"/>
    <mergeCell ref="B58:E58"/>
    <mergeCell ref="B35:D35"/>
    <mergeCell ref="B25:D25"/>
    <mergeCell ref="B57:E57"/>
    <mergeCell ref="B22:D22"/>
    <mergeCell ref="D54:E54"/>
    <mergeCell ref="B40:D40"/>
    <mergeCell ref="B56:H56"/>
    <mergeCell ref="G24:H24"/>
    <mergeCell ref="K4:M4"/>
    <mergeCell ref="G33:H33"/>
    <mergeCell ref="G26:H26"/>
    <mergeCell ref="B47:D47"/>
    <mergeCell ref="G35:H35"/>
    <mergeCell ref="B8:H8"/>
    <mergeCell ref="B31:D31"/>
    <mergeCell ref="B46:D46"/>
    <mergeCell ref="G25:H25"/>
    <mergeCell ref="H4:J4"/>
    <mergeCell ref="B21:D21"/>
    <mergeCell ref="B39:D39"/>
    <mergeCell ref="G9:H9"/>
    <mergeCell ref="B48:D48"/>
    <mergeCell ref="F54:G54"/>
    <mergeCell ref="H54:I54"/>
    <mergeCell ref="B18:C18"/>
    <mergeCell ref="G48:H48"/>
    <mergeCell ref="B10:D10"/>
    <mergeCell ref="F18:G18"/>
    <mergeCell ref="F17:G17"/>
    <mergeCell ref="B53:C53"/>
    <mergeCell ref="H17:I17"/>
    <mergeCell ref="G49:H49"/>
    <mergeCell ref="D53:E53"/>
    <mergeCell ref="B54:C54"/>
    <mergeCell ref="B23:D23"/>
    <mergeCell ref="G11:H11"/>
    <mergeCell ref="G42:H42"/>
    <mergeCell ref="B13:D13"/>
    <mergeCell ref="H5:J5"/>
    <mergeCell ref="B4:D4"/>
    <mergeCell ref="K5:M5"/>
    <mergeCell ref="B29:H29"/>
    <mergeCell ref="G22:H22"/>
    <mergeCell ref="G12:H12"/>
    <mergeCell ref="B9:D9"/>
    <mergeCell ref="B5:D5"/>
    <mergeCell ref="B20:H20"/>
    <mergeCell ref="G13:H13"/>
    <mergeCell ref="B17:C17"/>
    <mergeCell ref="D17:E17"/>
    <mergeCell ref="E4:G4"/>
    <mergeCell ref="B12:D12"/>
    <mergeCell ref="G10:H10"/>
    <mergeCell ref="B11:D11"/>
    <mergeCell ref="G21:H21"/>
    <mergeCell ref="B42:D42"/>
    <mergeCell ref="H53:I53"/>
    <mergeCell ref="G23:H23"/>
    <mergeCell ref="B34:D34"/>
    <mergeCell ref="B16:H16"/>
    <mergeCell ref="B30:D30"/>
    <mergeCell ref="G34:H34"/>
    <mergeCell ref="B52:H52"/>
    <mergeCell ref="G39:H39"/>
    <mergeCell ref="B45:H45"/>
    <mergeCell ref="B49:D49"/>
    <mergeCell ref="B41:D41"/>
    <mergeCell ref="G32:H32"/>
    <mergeCell ref="G41:H41"/>
  </mergeCells>
  <conditionalFormatting sqref="G10:G13">
    <cfRule type="dataBar" priority="1">
      <dataBar showValue="0">
        <cfvo type="num" val="0"/>
        <cfvo type="num" val="1"/>
        <color rgb="FF5145C4"/>
      </dataBar>
    </cfRule>
  </conditionalFormatting>
  <conditionalFormatting sqref="G22:G26">
    <cfRule type="dataBar" priority="2">
      <dataBar showValue="0">
        <cfvo type="num" val="0"/>
        <cfvo type="num" val="1"/>
        <color rgb="FF5145C4"/>
      </dataBar>
    </cfRule>
  </conditionalFormatting>
  <conditionalFormatting sqref="G31:G35">
    <cfRule type="dataBar" priority="3">
      <dataBar showValue="0">
        <cfvo type="num" val="0"/>
        <cfvo type="num" val="1"/>
        <color rgb="FF5145C4"/>
      </dataBar>
    </cfRule>
  </conditionalFormatting>
  <conditionalFormatting sqref="G40:G42">
    <cfRule type="dataBar" priority="4">
      <dataBar showValue="0">
        <cfvo type="num" val="0"/>
        <cfvo type="num" val="1"/>
        <color rgb="FF5145C4"/>
      </dataBar>
    </cfRule>
  </conditionalFormatting>
  <conditionalFormatting sqref="G47:G49">
    <cfRule type="dataBar" priority="5">
      <dataBar showValue="0">
        <cfvo type="num" val="0"/>
        <cfvo type="num" val="1"/>
        <color rgb="FF5145C4"/>
      </dataBar>
    </cfRule>
  </conditionalFormatting>
  <conditionalFormatting sqref="H58:H59">
    <cfRule type="dataBar" priority="6">
      <dataBar showValue="0">
        <cfvo type="num" val="0"/>
        <cfvo type="num" val="1"/>
        <color rgb="FF5145C4"/>
      </dataBar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9C0BB"/>
  </sheetPr>
  <dimension ref="A1:L31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customWidth="1"/>
    <col min="2" max="6" width="28" customWidth="1"/>
    <col min="7" max="7" width="15" customWidth="1"/>
    <col min="8" max="8" width="28" customWidth="1"/>
    <col min="9" max="11" width="15" customWidth="1"/>
    <col min="12" max="12" width="66" customWidth="1"/>
  </cols>
  <sheetData>
    <row r="1" spans="1:12" ht="86.1" customHeight="1" x14ac:dyDescent="0.25">
      <c r="A1" s="44" t="s">
        <v>157</v>
      </c>
      <c r="B1" s="44" t="s">
        <v>158</v>
      </c>
      <c r="C1" s="44" t="s">
        <v>159</v>
      </c>
      <c r="D1" s="44" t="s">
        <v>160</v>
      </c>
      <c r="E1" s="44" t="s">
        <v>161</v>
      </c>
      <c r="F1" s="44" t="s">
        <v>162</v>
      </c>
      <c r="G1" s="44" t="s">
        <v>163</v>
      </c>
      <c r="H1" s="44" t="s">
        <v>164</v>
      </c>
      <c r="I1" s="44" t="s">
        <v>165</v>
      </c>
      <c r="J1" s="44" t="s">
        <v>166</v>
      </c>
      <c r="K1" s="44" t="s">
        <v>167</v>
      </c>
      <c r="L1" s="44" t="s">
        <v>168</v>
      </c>
    </row>
    <row r="2" spans="1:12" ht="20.100000000000001" customHeight="1" x14ac:dyDescent="0.25">
      <c r="A2" s="45" t="s">
        <v>169</v>
      </c>
      <c r="B2" s="46" t="s">
        <v>57</v>
      </c>
      <c r="C2" s="46" t="s">
        <v>63</v>
      </c>
      <c r="D2" s="46" t="s">
        <v>68</v>
      </c>
      <c r="E2" s="46" t="s">
        <v>74</v>
      </c>
      <c r="F2" s="46" t="s">
        <v>72</v>
      </c>
      <c r="G2" s="45">
        <v>5</v>
      </c>
      <c r="H2" s="46" t="s">
        <v>78</v>
      </c>
      <c r="I2" s="45">
        <v>5</v>
      </c>
      <c r="J2" s="45">
        <v>5</v>
      </c>
      <c r="K2" s="45">
        <v>5</v>
      </c>
      <c r="L2" s="46" t="s">
        <v>170</v>
      </c>
    </row>
    <row r="3" spans="1:12" ht="20.100000000000001" customHeight="1" x14ac:dyDescent="0.25">
      <c r="A3" s="47" t="s">
        <v>171</v>
      </c>
      <c r="B3" s="48" t="s">
        <v>58</v>
      </c>
      <c r="C3" s="48" t="s">
        <v>64</v>
      </c>
      <c r="D3" s="48" t="s">
        <v>70</v>
      </c>
      <c r="E3" s="48" t="s">
        <v>72</v>
      </c>
      <c r="F3" s="48" t="s">
        <v>72</v>
      </c>
      <c r="G3" s="47">
        <v>4</v>
      </c>
      <c r="H3" s="48" t="s">
        <v>77</v>
      </c>
      <c r="I3" s="47">
        <v>3</v>
      </c>
      <c r="J3" s="47">
        <v>5</v>
      </c>
      <c r="K3" s="47">
        <v>3</v>
      </c>
      <c r="L3" s="48" t="s">
        <v>172</v>
      </c>
    </row>
    <row r="4" spans="1:12" ht="20.100000000000001" customHeight="1" x14ac:dyDescent="0.25">
      <c r="A4" s="45" t="s">
        <v>173</v>
      </c>
      <c r="B4" s="46" t="s">
        <v>57</v>
      </c>
      <c r="C4" s="46" t="s">
        <v>64</v>
      </c>
      <c r="D4" s="46" t="s">
        <v>66</v>
      </c>
      <c r="E4" s="46" t="s">
        <v>72</v>
      </c>
      <c r="F4" s="46" t="s">
        <v>62</v>
      </c>
      <c r="G4" s="45">
        <v>4</v>
      </c>
      <c r="H4" s="46" t="s">
        <v>77</v>
      </c>
      <c r="I4" s="45">
        <v>4</v>
      </c>
      <c r="J4" s="45">
        <v>4</v>
      </c>
      <c r="K4" s="45">
        <v>4</v>
      </c>
      <c r="L4" s="46" t="s">
        <v>174</v>
      </c>
    </row>
    <row r="5" spans="1:12" ht="20.100000000000001" customHeight="1" x14ac:dyDescent="0.25">
      <c r="A5" s="47" t="s">
        <v>175</v>
      </c>
      <c r="B5" s="48" t="s">
        <v>58</v>
      </c>
      <c r="C5" s="48" t="s">
        <v>62</v>
      </c>
      <c r="D5" s="48" t="s">
        <v>67</v>
      </c>
      <c r="E5" s="48" t="s">
        <v>72</v>
      </c>
      <c r="F5" s="48" t="s">
        <v>62</v>
      </c>
      <c r="G5" s="47">
        <v>4</v>
      </c>
      <c r="H5" s="48" t="s">
        <v>80</v>
      </c>
      <c r="I5" s="47">
        <v>3</v>
      </c>
      <c r="J5" s="47">
        <v>5</v>
      </c>
      <c r="K5" s="47">
        <v>5</v>
      </c>
      <c r="L5" s="48" t="s">
        <v>176</v>
      </c>
    </row>
    <row r="6" spans="1:12" ht="20.100000000000001" customHeight="1" x14ac:dyDescent="0.25">
      <c r="A6" s="45" t="s">
        <v>177</v>
      </c>
      <c r="B6" s="46" t="s">
        <v>57</v>
      </c>
      <c r="C6" s="46" t="s">
        <v>62</v>
      </c>
      <c r="D6" s="46" t="s">
        <v>66</v>
      </c>
      <c r="E6" s="46" t="s">
        <v>72</v>
      </c>
      <c r="F6" s="46" t="s">
        <v>74</v>
      </c>
      <c r="G6" s="45">
        <v>4</v>
      </c>
      <c r="H6" s="46" t="s">
        <v>79</v>
      </c>
      <c r="I6" s="45">
        <v>4</v>
      </c>
      <c r="J6" s="45">
        <v>4</v>
      </c>
      <c r="K6" s="45">
        <v>2</v>
      </c>
      <c r="L6" s="46" t="s">
        <v>176</v>
      </c>
    </row>
    <row r="7" spans="1:12" ht="20.100000000000001" customHeight="1" x14ac:dyDescent="0.25">
      <c r="A7" s="47" t="s">
        <v>178</v>
      </c>
      <c r="B7" s="48" t="s">
        <v>58</v>
      </c>
      <c r="C7" s="48" t="s">
        <v>60</v>
      </c>
      <c r="D7" s="48" t="s">
        <v>68</v>
      </c>
      <c r="E7" s="48" t="s">
        <v>72</v>
      </c>
      <c r="F7" s="48" t="s">
        <v>74</v>
      </c>
      <c r="G7" s="47">
        <v>3</v>
      </c>
      <c r="H7" s="48" t="s">
        <v>77</v>
      </c>
      <c r="I7" s="47">
        <v>5</v>
      </c>
      <c r="J7" s="47">
        <v>4</v>
      </c>
      <c r="K7" s="47">
        <v>1</v>
      </c>
      <c r="L7" s="48" t="s">
        <v>179</v>
      </c>
    </row>
    <row r="8" spans="1:12" ht="20.100000000000001" customHeight="1" x14ac:dyDescent="0.25">
      <c r="A8" s="45" t="s">
        <v>180</v>
      </c>
      <c r="B8" s="46" t="s">
        <v>58</v>
      </c>
      <c r="C8" s="46" t="s">
        <v>61</v>
      </c>
      <c r="D8" s="46" t="s">
        <v>68</v>
      </c>
      <c r="E8" s="46" t="s">
        <v>72</v>
      </c>
      <c r="F8" s="46" t="s">
        <v>74</v>
      </c>
      <c r="G8" s="45">
        <v>3</v>
      </c>
      <c r="H8" s="46" t="s">
        <v>77</v>
      </c>
      <c r="I8" s="45">
        <v>3</v>
      </c>
      <c r="J8" s="45">
        <v>4</v>
      </c>
      <c r="K8" s="45">
        <v>4</v>
      </c>
      <c r="L8" s="46" t="s">
        <v>181</v>
      </c>
    </row>
    <row r="9" spans="1:12" ht="20.100000000000001" customHeight="1" x14ac:dyDescent="0.25">
      <c r="A9" s="47" t="s">
        <v>182</v>
      </c>
      <c r="B9" s="48" t="s">
        <v>57</v>
      </c>
      <c r="C9" s="48" t="s">
        <v>62</v>
      </c>
      <c r="D9" s="48" t="s">
        <v>66</v>
      </c>
      <c r="E9" s="48" t="s">
        <v>74</v>
      </c>
      <c r="F9" s="48" t="s">
        <v>72</v>
      </c>
      <c r="G9" s="47">
        <v>5</v>
      </c>
      <c r="H9" s="48" t="s">
        <v>77</v>
      </c>
      <c r="I9" s="47">
        <v>4</v>
      </c>
      <c r="J9" s="47">
        <v>3</v>
      </c>
      <c r="K9" s="47">
        <v>3</v>
      </c>
      <c r="L9" s="48" t="s">
        <v>183</v>
      </c>
    </row>
    <row r="10" spans="1:12" ht="20.100000000000001" customHeight="1" x14ac:dyDescent="0.25">
      <c r="A10" s="45" t="s">
        <v>184</v>
      </c>
      <c r="B10" s="46" t="s">
        <v>58</v>
      </c>
      <c r="C10" s="46" t="s">
        <v>60</v>
      </c>
      <c r="D10" s="46" t="s">
        <v>69</v>
      </c>
      <c r="E10" s="46" t="s">
        <v>73</v>
      </c>
      <c r="F10" s="46" t="s">
        <v>62</v>
      </c>
      <c r="G10" s="45">
        <v>4</v>
      </c>
      <c r="H10" s="46" t="s">
        <v>79</v>
      </c>
      <c r="I10" s="45">
        <v>3</v>
      </c>
      <c r="J10" s="45">
        <v>5</v>
      </c>
      <c r="K10" s="45">
        <v>2</v>
      </c>
      <c r="L10" s="46" t="s">
        <v>185</v>
      </c>
    </row>
    <row r="11" spans="1:12" ht="20.100000000000001" customHeight="1" x14ac:dyDescent="0.25">
      <c r="A11" s="47" t="s">
        <v>186</v>
      </c>
      <c r="B11" s="48" t="s">
        <v>57</v>
      </c>
      <c r="C11" s="48" t="s">
        <v>63</v>
      </c>
      <c r="D11" s="48" t="s">
        <v>66</v>
      </c>
      <c r="E11" s="48" t="s">
        <v>72</v>
      </c>
      <c r="F11" s="48" t="s">
        <v>74</v>
      </c>
      <c r="G11" s="47">
        <v>4</v>
      </c>
      <c r="H11" s="48" t="s">
        <v>78</v>
      </c>
      <c r="I11" s="47">
        <v>5</v>
      </c>
      <c r="J11" s="47">
        <v>3</v>
      </c>
      <c r="K11" s="47">
        <v>4</v>
      </c>
      <c r="L11" s="48" t="s">
        <v>187</v>
      </c>
    </row>
    <row r="12" spans="1:12" ht="20.100000000000001" customHeight="1" x14ac:dyDescent="0.25">
      <c r="A12" s="45" t="s">
        <v>188</v>
      </c>
      <c r="B12" s="46" t="s">
        <v>57</v>
      </c>
      <c r="C12" s="46" t="s">
        <v>63</v>
      </c>
      <c r="D12" s="46" t="s">
        <v>69</v>
      </c>
      <c r="E12" s="46" t="s">
        <v>72</v>
      </c>
      <c r="F12" s="46" t="s">
        <v>74</v>
      </c>
      <c r="G12" s="45">
        <v>4</v>
      </c>
      <c r="H12" s="46" t="s">
        <v>79</v>
      </c>
      <c r="I12" s="45">
        <v>5</v>
      </c>
      <c r="J12" s="45">
        <v>5</v>
      </c>
      <c r="K12" s="45">
        <v>4</v>
      </c>
      <c r="L12" s="46" t="s">
        <v>189</v>
      </c>
    </row>
    <row r="13" spans="1:12" ht="20.100000000000001" customHeight="1" x14ac:dyDescent="0.25">
      <c r="A13" s="47" t="s">
        <v>190</v>
      </c>
      <c r="B13" s="48" t="s">
        <v>57</v>
      </c>
      <c r="C13" s="48" t="s">
        <v>61</v>
      </c>
      <c r="D13" s="48" t="s">
        <v>68</v>
      </c>
      <c r="E13" s="48" t="s">
        <v>73</v>
      </c>
      <c r="F13" s="48" t="s">
        <v>62</v>
      </c>
      <c r="G13" s="47">
        <v>5</v>
      </c>
      <c r="H13" s="48" t="s">
        <v>77</v>
      </c>
      <c r="I13" s="47">
        <v>3</v>
      </c>
      <c r="J13" s="47">
        <v>5</v>
      </c>
      <c r="K13" s="47">
        <v>1</v>
      </c>
      <c r="L13" s="48" t="s">
        <v>191</v>
      </c>
    </row>
    <row r="14" spans="1:12" ht="20.100000000000001" customHeight="1" x14ac:dyDescent="0.25">
      <c r="A14" s="45" t="s">
        <v>192</v>
      </c>
      <c r="B14" s="46" t="s">
        <v>57</v>
      </c>
      <c r="C14" s="46" t="s">
        <v>61</v>
      </c>
      <c r="D14" s="46" t="s">
        <v>68</v>
      </c>
      <c r="E14" s="46" t="s">
        <v>74</v>
      </c>
      <c r="F14" s="46" t="s">
        <v>74</v>
      </c>
      <c r="G14" s="45">
        <v>4</v>
      </c>
      <c r="H14" s="46" t="s">
        <v>79</v>
      </c>
      <c r="I14" s="45">
        <v>4</v>
      </c>
      <c r="J14" s="45">
        <v>5</v>
      </c>
      <c r="K14" s="45">
        <v>2</v>
      </c>
      <c r="L14" s="46" t="s">
        <v>185</v>
      </c>
    </row>
    <row r="15" spans="1:12" ht="20.100000000000001" customHeight="1" x14ac:dyDescent="0.25">
      <c r="A15" s="47" t="s">
        <v>193</v>
      </c>
      <c r="B15" s="48" t="s">
        <v>57</v>
      </c>
      <c r="C15" s="48" t="s">
        <v>61</v>
      </c>
      <c r="D15" s="48" t="s">
        <v>67</v>
      </c>
      <c r="E15" s="48" t="s">
        <v>74</v>
      </c>
      <c r="F15" s="48" t="s">
        <v>72</v>
      </c>
      <c r="G15" s="47">
        <v>2</v>
      </c>
      <c r="H15" s="48" t="s">
        <v>78</v>
      </c>
      <c r="I15" s="47">
        <v>5</v>
      </c>
      <c r="J15" s="47">
        <v>5</v>
      </c>
      <c r="K15" s="47">
        <v>1</v>
      </c>
      <c r="L15" s="48" t="s">
        <v>194</v>
      </c>
    </row>
    <row r="16" spans="1:12" ht="20.100000000000001" customHeight="1" x14ac:dyDescent="0.25">
      <c r="A16" s="45" t="s">
        <v>195</v>
      </c>
      <c r="B16" s="46" t="s">
        <v>57</v>
      </c>
      <c r="C16" s="46" t="s">
        <v>62</v>
      </c>
      <c r="D16" s="46" t="s">
        <v>66</v>
      </c>
      <c r="E16" s="46" t="s">
        <v>73</v>
      </c>
      <c r="F16" s="46" t="s">
        <v>72</v>
      </c>
      <c r="G16" s="45">
        <v>4</v>
      </c>
      <c r="H16" s="46" t="s">
        <v>77</v>
      </c>
      <c r="I16" s="45">
        <v>5</v>
      </c>
      <c r="J16" s="45">
        <v>4</v>
      </c>
      <c r="K16" s="45">
        <v>1</v>
      </c>
      <c r="L16" s="46" t="s">
        <v>196</v>
      </c>
    </row>
    <row r="17" spans="1:12" ht="20.100000000000001" customHeight="1" x14ac:dyDescent="0.25">
      <c r="A17" s="47" t="s">
        <v>197</v>
      </c>
      <c r="B17" s="48" t="s">
        <v>57</v>
      </c>
      <c r="C17" s="48" t="s">
        <v>62</v>
      </c>
      <c r="D17" s="48" t="s">
        <v>66</v>
      </c>
      <c r="E17" s="48" t="s">
        <v>73</v>
      </c>
      <c r="F17" s="48" t="s">
        <v>62</v>
      </c>
      <c r="G17" s="47">
        <v>3</v>
      </c>
      <c r="H17" s="48" t="s">
        <v>77</v>
      </c>
      <c r="I17" s="47">
        <v>4</v>
      </c>
      <c r="J17" s="47">
        <v>5</v>
      </c>
      <c r="K17" s="47">
        <v>3</v>
      </c>
      <c r="L17" s="48" t="s">
        <v>179</v>
      </c>
    </row>
    <row r="18" spans="1:12" ht="20.100000000000001" customHeight="1" x14ac:dyDescent="0.25">
      <c r="A18" s="45" t="s">
        <v>198</v>
      </c>
      <c r="B18" s="46" t="s">
        <v>57</v>
      </c>
      <c r="C18" s="46" t="s">
        <v>61</v>
      </c>
      <c r="D18" s="46" t="s">
        <v>68</v>
      </c>
      <c r="E18" s="46" t="s">
        <v>72</v>
      </c>
      <c r="F18" s="46" t="s">
        <v>72</v>
      </c>
      <c r="G18" s="45">
        <v>3</v>
      </c>
      <c r="H18" s="46" t="s">
        <v>77</v>
      </c>
      <c r="I18" s="45">
        <v>2</v>
      </c>
      <c r="J18" s="45">
        <v>3</v>
      </c>
      <c r="K18" s="45">
        <v>5</v>
      </c>
      <c r="L18" s="46" t="s">
        <v>170</v>
      </c>
    </row>
    <row r="19" spans="1:12" ht="20.100000000000001" customHeight="1" x14ac:dyDescent="0.25">
      <c r="A19" s="47" t="s">
        <v>199</v>
      </c>
      <c r="B19" s="48" t="s">
        <v>57</v>
      </c>
      <c r="C19" s="48" t="s">
        <v>63</v>
      </c>
      <c r="D19" s="48" t="s">
        <v>66</v>
      </c>
      <c r="E19" s="48" t="s">
        <v>72</v>
      </c>
      <c r="F19" s="48" t="s">
        <v>72</v>
      </c>
      <c r="G19" s="47">
        <v>4</v>
      </c>
      <c r="H19" s="48" t="s">
        <v>77</v>
      </c>
      <c r="I19" s="47">
        <v>5</v>
      </c>
      <c r="J19" s="47">
        <v>5</v>
      </c>
      <c r="K19" s="47">
        <v>4</v>
      </c>
      <c r="L19" s="48" t="s">
        <v>200</v>
      </c>
    </row>
    <row r="20" spans="1:12" ht="20.100000000000001" customHeight="1" x14ac:dyDescent="0.25">
      <c r="A20" s="45" t="s">
        <v>201</v>
      </c>
      <c r="B20" s="46" t="s">
        <v>57</v>
      </c>
      <c r="C20" s="46" t="s">
        <v>62</v>
      </c>
      <c r="D20" s="46" t="s">
        <v>66</v>
      </c>
      <c r="E20" s="46" t="s">
        <v>72</v>
      </c>
      <c r="F20" s="46" t="s">
        <v>62</v>
      </c>
      <c r="G20" s="45">
        <v>3</v>
      </c>
      <c r="H20" s="46" t="s">
        <v>77</v>
      </c>
      <c r="I20" s="45">
        <v>3</v>
      </c>
      <c r="J20" s="45">
        <v>4</v>
      </c>
      <c r="K20" s="45">
        <v>1</v>
      </c>
      <c r="L20" s="46" t="s">
        <v>172</v>
      </c>
    </row>
    <row r="21" spans="1:12" ht="20.100000000000001" customHeight="1" x14ac:dyDescent="0.25">
      <c r="A21" s="47" t="s">
        <v>202</v>
      </c>
      <c r="B21" s="48" t="s">
        <v>57</v>
      </c>
      <c r="C21" s="48" t="s">
        <v>63</v>
      </c>
      <c r="D21" s="48" t="s">
        <v>68</v>
      </c>
      <c r="E21" s="48" t="s">
        <v>73</v>
      </c>
      <c r="F21" s="48" t="s">
        <v>72</v>
      </c>
      <c r="G21" s="47">
        <v>5</v>
      </c>
      <c r="H21" s="48" t="s">
        <v>79</v>
      </c>
      <c r="I21" s="47">
        <v>4</v>
      </c>
      <c r="J21" s="47">
        <v>3</v>
      </c>
      <c r="K21" s="47">
        <v>2</v>
      </c>
      <c r="L21" s="48" t="s">
        <v>176</v>
      </c>
    </row>
    <row r="22" spans="1:12" ht="20.100000000000001" customHeight="1" x14ac:dyDescent="0.25">
      <c r="A22" s="45" t="s">
        <v>203</v>
      </c>
      <c r="B22" s="46" t="s">
        <v>57</v>
      </c>
      <c r="C22" s="46" t="s">
        <v>61</v>
      </c>
      <c r="D22" s="46" t="s">
        <v>67</v>
      </c>
      <c r="E22" s="46" t="s">
        <v>72</v>
      </c>
      <c r="F22" s="46" t="s">
        <v>74</v>
      </c>
      <c r="G22" s="45">
        <v>2</v>
      </c>
      <c r="H22" s="46" t="s">
        <v>77</v>
      </c>
      <c r="I22" s="45">
        <v>5</v>
      </c>
      <c r="J22" s="45">
        <v>5</v>
      </c>
      <c r="K22" s="45">
        <v>4</v>
      </c>
      <c r="L22" s="46" t="s">
        <v>170</v>
      </c>
    </row>
    <row r="23" spans="1:12" ht="20.100000000000001" customHeight="1" x14ac:dyDescent="0.25">
      <c r="A23" s="47" t="s">
        <v>204</v>
      </c>
      <c r="B23" s="48" t="s">
        <v>57</v>
      </c>
      <c r="C23" s="48" t="s">
        <v>61</v>
      </c>
      <c r="D23" s="48" t="s">
        <v>66</v>
      </c>
      <c r="E23" s="48" t="s">
        <v>72</v>
      </c>
      <c r="F23" s="48" t="s">
        <v>72</v>
      </c>
      <c r="G23" s="47">
        <v>3</v>
      </c>
      <c r="H23" s="48" t="s">
        <v>80</v>
      </c>
      <c r="I23" s="47">
        <v>4</v>
      </c>
      <c r="J23" s="47">
        <v>4</v>
      </c>
      <c r="K23" s="47">
        <v>2</v>
      </c>
      <c r="L23" s="48" t="s">
        <v>181</v>
      </c>
    </row>
    <row r="24" spans="1:12" ht="20.100000000000001" customHeight="1" x14ac:dyDescent="0.25">
      <c r="A24" s="45" t="s">
        <v>205</v>
      </c>
      <c r="B24" s="46" t="s">
        <v>57</v>
      </c>
      <c r="C24" s="46" t="s">
        <v>62</v>
      </c>
      <c r="D24" s="46" t="s">
        <v>66</v>
      </c>
      <c r="E24" s="46" t="s">
        <v>73</v>
      </c>
      <c r="F24" s="46" t="s">
        <v>72</v>
      </c>
      <c r="G24" s="45">
        <v>5</v>
      </c>
      <c r="H24" s="46" t="s">
        <v>77</v>
      </c>
      <c r="I24" s="45">
        <v>4</v>
      </c>
      <c r="J24" s="45">
        <v>5</v>
      </c>
      <c r="K24" s="45">
        <v>4</v>
      </c>
      <c r="L24" s="46" t="s">
        <v>172</v>
      </c>
    </row>
    <row r="25" spans="1:12" ht="20.100000000000001" customHeight="1" x14ac:dyDescent="0.25">
      <c r="A25" s="47" t="s">
        <v>206</v>
      </c>
      <c r="B25" s="48" t="s">
        <v>58</v>
      </c>
      <c r="C25" s="48" t="s">
        <v>63</v>
      </c>
      <c r="D25" s="48" t="s">
        <v>66</v>
      </c>
      <c r="E25" s="48" t="s">
        <v>74</v>
      </c>
      <c r="F25" s="48" t="s">
        <v>74</v>
      </c>
      <c r="G25" s="47">
        <v>3</v>
      </c>
      <c r="H25" s="48" t="s">
        <v>77</v>
      </c>
      <c r="I25" s="47">
        <v>1</v>
      </c>
      <c r="J25" s="47">
        <v>3</v>
      </c>
      <c r="K25" s="47">
        <v>2</v>
      </c>
      <c r="L25" s="48" t="s">
        <v>189</v>
      </c>
    </row>
    <row r="26" spans="1:12" ht="20.100000000000001" customHeight="1" x14ac:dyDescent="0.25">
      <c r="A26" s="45" t="s">
        <v>207</v>
      </c>
      <c r="B26" s="46" t="s">
        <v>57</v>
      </c>
      <c r="C26" s="46" t="s">
        <v>62</v>
      </c>
      <c r="D26" s="46" t="s">
        <v>69</v>
      </c>
      <c r="E26" s="46" t="s">
        <v>72</v>
      </c>
      <c r="F26" s="46" t="s">
        <v>74</v>
      </c>
      <c r="G26" s="45">
        <v>3</v>
      </c>
      <c r="H26" s="46" t="s">
        <v>77</v>
      </c>
      <c r="I26" s="45">
        <v>5</v>
      </c>
      <c r="J26" s="45">
        <v>4</v>
      </c>
      <c r="K26" s="45">
        <v>5</v>
      </c>
      <c r="L26" s="46" t="s">
        <v>172</v>
      </c>
    </row>
    <row r="27" spans="1:12" ht="20.100000000000001" customHeight="1" x14ac:dyDescent="0.25">
      <c r="A27" s="47" t="s">
        <v>208</v>
      </c>
      <c r="B27" s="48" t="s">
        <v>57</v>
      </c>
      <c r="C27" s="48" t="s">
        <v>62</v>
      </c>
      <c r="D27" s="48" t="s">
        <v>66</v>
      </c>
      <c r="E27" s="48" t="s">
        <v>74</v>
      </c>
      <c r="F27" s="48" t="s">
        <v>62</v>
      </c>
      <c r="G27" s="47">
        <v>4</v>
      </c>
      <c r="H27" s="48" t="s">
        <v>77</v>
      </c>
      <c r="I27" s="47">
        <v>5</v>
      </c>
      <c r="J27" s="47">
        <v>3</v>
      </c>
      <c r="K27" s="47">
        <v>3</v>
      </c>
      <c r="L27" s="48" t="s">
        <v>185</v>
      </c>
    </row>
    <row r="28" spans="1:12" ht="20.100000000000001" customHeight="1" x14ac:dyDescent="0.25">
      <c r="A28" s="45" t="s">
        <v>209</v>
      </c>
      <c r="B28" s="46" t="s">
        <v>57</v>
      </c>
      <c r="C28" s="46" t="s">
        <v>62</v>
      </c>
      <c r="D28" s="46" t="s">
        <v>67</v>
      </c>
      <c r="E28" s="46" t="s">
        <v>73</v>
      </c>
      <c r="F28" s="46" t="s">
        <v>62</v>
      </c>
      <c r="G28" s="45">
        <v>5</v>
      </c>
      <c r="H28" s="46" t="s">
        <v>79</v>
      </c>
      <c r="I28" s="45">
        <v>5</v>
      </c>
      <c r="J28" s="45">
        <v>3</v>
      </c>
      <c r="K28" s="45">
        <v>5</v>
      </c>
      <c r="L28" s="46" t="s">
        <v>181</v>
      </c>
    </row>
    <row r="29" spans="1:12" ht="20.100000000000001" customHeight="1" x14ac:dyDescent="0.25">
      <c r="A29" s="47" t="s">
        <v>210</v>
      </c>
      <c r="B29" s="48" t="s">
        <v>58</v>
      </c>
      <c r="C29" s="48" t="s">
        <v>60</v>
      </c>
      <c r="D29" s="48" t="s">
        <v>67</v>
      </c>
      <c r="E29" s="48" t="s">
        <v>73</v>
      </c>
      <c r="F29" s="48" t="s">
        <v>74</v>
      </c>
      <c r="G29" s="47">
        <v>4</v>
      </c>
      <c r="H29" s="48" t="s">
        <v>79</v>
      </c>
      <c r="I29" s="47">
        <v>3</v>
      </c>
      <c r="J29" s="47">
        <v>5</v>
      </c>
      <c r="K29" s="47">
        <v>4</v>
      </c>
      <c r="L29" s="48" t="s">
        <v>200</v>
      </c>
    </row>
    <row r="30" spans="1:12" ht="20.100000000000001" customHeight="1" x14ac:dyDescent="0.25">
      <c r="A30" s="45" t="s">
        <v>211</v>
      </c>
      <c r="B30" s="46" t="s">
        <v>58</v>
      </c>
      <c r="C30" s="46" t="s">
        <v>61</v>
      </c>
      <c r="D30" s="46" t="s">
        <v>66</v>
      </c>
      <c r="E30" s="46" t="s">
        <v>73</v>
      </c>
      <c r="F30" s="46" t="s">
        <v>74</v>
      </c>
      <c r="G30" s="45">
        <v>3</v>
      </c>
      <c r="H30" s="46" t="s">
        <v>80</v>
      </c>
      <c r="I30" s="45">
        <v>5</v>
      </c>
      <c r="J30" s="45">
        <v>4</v>
      </c>
      <c r="K30" s="45">
        <v>3</v>
      </c>
      <c r="L30" s="46" t="s">
        <v>179</v>
      </c>
    </row>
    <row r="31" spans="1:12" ht="20.100000000000001" customHeight="1" x14ac:dyDescent="0.25">
      <c r="A31" s="47" t="s">
        <v>212</v>
      </c>
      <c r="B31" s="48" t="s">
        <v>57</v>
      </c>
      <c r="C31" s="48" t="s">
        <v>61</v>
      </c>
      <c r="D31" s="48" t="s">
        <v>68</v>
      </c>
      <c r="E31" s="48" t="s">
        <v>73</v>
      </c>
      <c r="F31" s="48" t="s">
        <v>72</v>
      </c>
      <c r="G31" s="47">
        <v>3</v>
      </c>
      <c r="H31" s="48" t="s">
        <v>77</v>
      </c>
      <c r="I31" s="47">
        <v>3</v>
      </c>
      <c r="J31" s="47">
        <v>3</v>
      </c>
      <c r="K31" s="47">
        <v>3</v>
      </c>
      <c r="L31" s="48" t="s">
        <v>181</v>
      </c>
    </row>
  </sheetData>
  <autoFilter ref="A1:L31" xr:uid="{00000000-0009-0000-0000-000006000000}"/>
  <conditionalFormatting sqref="G2:G1000">
    <cfRule type="colorScale" priority="1">
      <colorScale>
        <cfvo type="num" val="1"/>
        <cfvo type="num" val="3"/>
        <cfvo type="num" val="5"/>
        <color rgb="FFF8C9C4"/>
        <color rgb="FFF2F2F2"/>
        <color rgb="FFA9DFBF"/>
      </colorScale>
    </cfRule>
  </conditionalFormatting>
  <conditionalFormatting sqref="I2:I1000">
    <cfRule type="colorScale" priority="2">
      <colorScale>
        <cfvo type="num" val="1"/>
        <cfvo type="num" val="3"/>
        <cfvo type="num" val="5"/>
        <color rgb="FFF8C9C4"/>
        <color rgb="FFF2F2F2"/>
        <color rgb="FFA9DFBF"/>
      </colorScale>
    </cfRule>
  </conditionalFormatting>
  <conditionalFormatting sqref="J2:J1000">
    <cfRule type="colorScale" priority="3">
      <colorScale>
        <cfvo type="num" val="1"/>
        <cfvo type="num" val="3"/>
        <cfvo type="num" val="5"/>
        <color rgb="FFF8C9C4"/>
        <color rgb="FFF2F2F2"/>
        <color rgb="FFA9DFBF"/>
      </colorScale>
    </cfRule>
  </conditionalFormatting>
  <conditionalFormatting sqref="K2:K1000">
    <cfRule type="colorScale" priority="4">
      <colorScale>
        <cfvo type="num" val="1"/>
        <cfvo type="num" val="3"/>
        <cfvo type="num" val="5"/>
        <color rgb="FFF8C9C4"/>
        <color rgb="FFF2F2F2"/>
        <color rgb="FFA9DFBF"/>
      </colorScale>
    </cfRule>
  </conditionalFormatting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9C0BB"/>
  </sheetPr>
  <dimension ref="A1:L9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customWidth="1"/>
    <col min="2" max="3" width="28" customWidth="1"/>
    <col min="4" max="4" width="15" customWidth="1"/>
    <col min="5" max="6" width="28" customWidth="1"/>
    <col min="7" max="11" width="15" customWidth="1"/>
    <col min="12" max="12" width="66" customWidth="1"/>
  </cols>
  <sheetData>
    <row r="1" spans="1:12" ht="86.1" customHeight="1" x14ac:dyDescent="0.25">
      <c r="A1" s="49" t="s">
        <v>157</v>
      </c>
      <c r="B1" s="49" t="s">
        <v>213</v>
      </c>
      <c r="C1" s="49" t="s">
        <v>214</v>
      </c>
      <c r="D1" s="49" t="s">
        <v>215</v>
      </c>
      <c r="E1" s="49" t="s">
        <v>216</v>
      </c>
      <c r="F1" s="49" t="s">
        <v>217</v>
      </c>
      <c r="G1" s="49" t="s">
        <v>218</v>
      </c>
      <c r="H1" s="49" t="s">
        <v>219</v>
      </c>
      <c r="I1" s="49" t="s">
        <v>220</v>
      </c>
      <c r="J1" s="49" t="s">
        <v>221</v>
      </c>
      <c r="K1" s="49" t="s">
        <v>222</v>
      </c>
      <c r="L1" s="49" t="s">
        <v>223</v>
      </c>
    </row>
    <row r="2" spans="1:12" ht="20.100000000000001" customHeight="1" x14ac:dyDescent="0.25">
      <c r="A2" s="45" t="s">
        <v>224</v>
      </c>
      <c r="B2" s="46" t="s">
        <v>92</v>
      </c>
      <c r="C2" s="46" t="s">
        <v>95</v>
      </c>
      <c r="D2" s="45">
        <v>29</v>
      </c>
      <c r="E2" s="46" t="s">
        <v>104</v>
      </c>
      <c r="F2" s="46" t="s">
        <v>107</v>
      </c>
      <c r="G2" s="45">
        <v>5</v>
      </c>
      <c r="H2" s="45">
        <v>4</v>
      </c>
      <c r="I2" s="45">
        <v>3</v>
      </c>
      <c r="J2" s="45">
        <v>61</v>
      </c>
      <c r="K2" s="45">
        <v>4</v>
      </c>
      <c r="L2" s="46" t="s">
        <v>225</v>
      </c>
    </row>
    <row r="3" spans="1:12" ht="20.100000000000001" customHeight="1" x14ac:dyDescent="0.25">
      <c r="A3" s="47" t="s">
        <v>226</v>
      </c>
      <c r="B3" s="48" t="s">
        <v>91</v>
      </c>
      <c r="C3" s="48" t="s">
        <v>96</v>
      </c>
      <c r="D3" s="47">
        <v>23</v>
      </c>
      <c r="E3" s="48" t="s">
        <v>104</v>
      </c>
      <c r="F3" s="48" t="s">
        <v>107</v>
      </c>
      <c r="G3" s="47">
        <v>4</v>
      </c>
      <c r="H3" s="47">
        <v>5</v>
      </c>
      <c r="I3" s="47">
        <v>3</v>
      </c>
      <c r="J3" s="47">
        <v>41</v>
      </c>
      <c r="K3" s="47">
        <v>3</v>
      </c>
      <c r="L3" s="48" t="s">
        <v>227</v>
      </c>
    </row>
    <row r="4" spans="1:12" ht="20.100000000000001" customHeight="1" x14ac:dyDescent="0.25">
      <c r="A4" s="45" t="s">
        <v>228</v>
      </c>
      <c r="B4" s="46" t="s">
        <v>90</v>
      </c>
      <c r="C4" s="46" t="s">
        <v>96</v>
      </c>
      <c r="D4" s="45">
        <v>26</v>
      </c>
      <c r="E4" s="46" t="s">
        <v>74</v>
      </c>
      <c r="F4" s="46" t="s">
        <v>106</v>
      </c>
      <c r="G4" s="45">
        <v>3</v>
      </c>
      <c r="H4" s="45">
        <v>4</v>
      </c>
      <c r="I4" s="45">
        <v>3</v>
      </c>
      <c r="J4" s="45">
        <v>10</v>
      </c>
      <c r="K4" s="45">
        <v>4</v>
      </c>
      <c r="L4" s="46" t="s">
        <v>227</v>
      </c>
    </row>
    <row r="5" spans="1:12" ht="20.100000000000001" customHeight="1" x14ac:dyDescent="0.25">
      <c r="A5" s="47" t="s">
        <v>229</v>
      </c>
      <c r="B5" s="48" t="s">
        <v>91</v>
      </c>
      <c r="C5" s="48" t="s">
        <v>95</v>
      </c>
      <c r="D5" s="47">
        <v>19</v>
      </c>
      <c r="E5" s="48" t="s">
        <v>104</v>
      </c>
      <c r="F5" s="48" t="s">
        <v>106</v>
      </c>
      <c r="G5" s="47">
        <v>4</v>
      </c>
      <c r="H5" s="47">
        <v>5</v>
      </c>
      <c r="I5" s="47">
        <v>5</v>
      </c>
      <c r="J5" s="47">
        <v>18</v>
      </c>
      <c r="K5" s="47">
        <v>3</v>
      </c>
      <c r="L5" s="48" t="s">
        <v>230</v>
      </c>
    </row>
    <row r="6" spans="1:12" ht="20.100000000000001" customHeight="1" x14ac:dyDescent="0.25">
      <c r="A6" s="45" t="s">
        <v>231</v>
      </c>
      <c r="B6" s="46" t="s">
        <v>90</v>
      </c>
      <c r="C6" s="46" t="s">
        <v>97</v>
      </c>
      <c r="D6" s="45">
        <v>21</v>
      </c>
      <c r="E6" s="46" t="s">
        <v>104</v>
      </c>
      <c r="F6" s="46" t="s">
        <v>60</v>
      </c>
      <c r="G6" s="45">
        <v>4</v>
      </c>
      <c r="H6" s="45">
        <v>5</v>
      </c>
      <c r="I6" s="45">
        <v>4</v>
      </c>
      <c r="J6" s="45">
        <v>24</v>
      </c>
      <c r="K6" s="45">
        <v>5</v>
      </c>
      <c r="L6" s="46" t="s">
        <v>230</v>
      </c>
    </row>
    <row r="7" spans="1:12" ht="20.100000000000001" customHeight="1" x14ac:dyDescent="0.25">
      <c r="A7" s="47" t="s">
        <v>232</v>
      </c>
      <c r="B7" s="48" t="s">
        <v>92</v>
      </c>
      <c r="C7" s="48" t="s">
        <v>95</v>
      </c>
      <c r="D7" s="47">
        <v>22</v>
      </c>
      <c r="E7" s="48" t="s">
        <v>104</v>
      </c>
      <c r="F7" s="48" t="s">
        <v>106</v>
      </c>
      <c r="G7" s="47">
        <v>3</v>
      </c>
      <c r="H7" s="47">
        <v>5</v>
      </c>
      <c r="I7" s="47">
        <v>3</v>
      </c>
      <c r="J7" s="47">
        <v>33</v>
      </c>
      <c r="K7" s="47">
        <v>4</v>
      </c>
      <c r="L7" s="48" t="s">
        <v>233</v>
      </c>
    </row>
    <row r="8" spans="1:12" ht="20.100000000000001" customHeight="1" x14ac:dyDescent="0.25">
      <c r="A8" s="45" t="s">
        <v>234</v>
      </c>
      <c r="B8" s="46" t="s">
        <v>90</v>
      </c>
      <c r="C8" s="46" t="s">
        <v>95</v>
      </c>
      <c r="D8" s="45">
        <v>25</v>
      </c>
      <c r="E8" s="46" t="s">
        <v>103</v>
      </c>
      <c r="F8" s="46" t="s">
        <v>106</v>
      </c>
      <c r="G8" s="45">
        <v>4</v>
      </c>
      <c r="H8" s="45">
        <v>5</v>
      </c>
      <c r="I8" s="45">
        <v>5</v>
      </c>
      <c r="J8" s="45">
        <v>45</v>
      </c>
      <c r="K8" s="45">
        <v>2</v>
      </c>
      <c r="L8" s="46" t="s">
        <v>227</v>
      </c>
    </row>
    <row r="9" spans="1:12" ht="20.100000000000001" customHeight="1" x14ac:dyDescent="0.25">
      <c r="A9" s="47" t="s">
        <v>235</v>
      </c>
      <c r="B9" s="48" t="s">
        <v>90</v>
      </c>
      <c r="C9" s="48" t="s">
        <v>95</v>
      </c>
      <c r="D9" s="47">
        <v>13</v>
      </c>
      <c r="E9" s="48" t="s">
        <v>104</v>
      </c>
      <c r="F9" s="48" t="s">
        <v>107</v>
      </c>
      <c r="G9" s="47">
        <v>5</v>
      </c>
      <c r="H9" s="47">
        <v>5</v>
      </c>
      <c r="I9" s="47">
        <v>3</v>
      </c>
      <c r="J9" s="47">
        <v>25</v>
      </c>
      <c r="K9" s="47">
        <v>3</v>
      </c>
      <c r="L9" s="48" t="s">
        <v>230</v>
      </c>
    </row>
  </sheetData>
  <autoFilter ref="A1:L9" xr:uid="{00000000-0009-0000-0000-000007000000}"/>
  <conditionalFormatting sqref="G2:G1000">
    <cfRule type="colorScale" priority="1">
      <colorScale>
        <cfvo type="num" val="1"/>
        <cfvo type="num" val="3"/>
        <cfvo type="num" val="5"/>
        <color rgb="FFF8C9C4"/>
        <color rgb="FFF2F2F2"/>
        <color rgb="FFA9DFBF"/>
      </colorScale>
    </cfRule>
  </conditionalFormatting>
  <conditionalFormatting sqref="H2:H1000">
    <cfRule type="colorScale" priority="2">
      <colorScale>
        <cfvo type="num" val="1"/>
        <cfvo type="num" val="3"/>
        <cfvo type="num" val="5"/>
        <color rgb="FFF8C9C4"/>
        <color rgb="FFF2F2F2"/>
        <color rgb="FFA9DFBF"/>
      </colorScale>
    </cfRule>
  </conditionalFormatting>
  <conditionalFormatting sqref="I2:I1000">
    <cfRule type="colorScale" priority="3">
      <colorScale>
        <cfvo type="num" val="1"/>
        <cfvo type="num" val="3"/>
        <cfvo type="num" val="5"/>
        <color rgb="FFF8C9C4"/>
        <color rgb="FFF2F2F2"/>
        <color rgb="FFA9DFBF"/>
      </colorScale>
    </cfRule>
  </conditionalFormatting>
  <conditionalFormatting sqref="K2:K1000">
    <cfRule type="colorScale" priority="4">
      <colorScale>
        <cfvo type="num" val="1"/>
        <cfvo type="num" val="3"/>
        <cfvo type="num" val="5"/>
        <color rgb="FFF8C9C4"/>
        <color rgb="FFF2F2F2"/>
        <color rgb="FFA9DFBF"/>
      </colorScale>
    </cfRule>
  </conditionalFormatting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9C0BB"/>
  </sheetPr>
  <dimension ref="A1:K7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customWidth="1"/>
    <col min="2" max="3" width="28" customWidth="1"/>
    <col min="4" max="5" width="15" customWidth="1"/>
    <col min="6" max="7" width="28" customWidth="1"/>
    <col min="8" max="9" width="15" customWidth="1"/>
    <col min="10" max="10" width="28" customWidth="1"/>
    <col min="11" max="11" width="66" customWidth="1"/>
  </cols>
  <sheetData>
    <row r="1" spans="1:11" ht="86.1" customHeight="1" x14ac:dyDescent="0.25">
      <c r="A1" s="50" t="s">
        <v>157</v>
      </c>
      <c r="B1" s="50" t="s">
        <v>236</v>
      </c>
      <c r="C1" s="50" t="s">
        <v>237</v>
      </c>
      <c r="D1" s="50" t="s">
        <v>238</v>
      </c>
      <c r="E1" s="50" t="s">
        <v>239</v>
      </c>
      <c r="F1" s="50" t="s">
        <v>240</v>
      </c>
      <c r="G1" s="50" t="s">
        <v>241</v>
      </c>
      <c r="H1" s="50" t="s">
        <v>242</v>
      </c>
      <c r="I1" s="50" t="s">
        <v>243</v>
      </c>
      <c r="J1" s="50" t="s">
        <v>244</v>
      </c>
      <c r="K1" s="50" t="s">
        <v>245</v>
      </c>
    </row>
    <row r="2" spans="1:11" ht="20.100000000000001" customHeight="1" x14ac:dyDescent="0.25">
      <c r="A2" s="45" t="s">
        <v>246</v>
      </c>
      <c r="B2" s="46" t="s">
        <v>115</v>
      </c>
      <c r="C2" s="46" t="s">
        <v>119</v>
      </c>
      <c r="D2" s="45">
        <v>2</v>
      </c>
      <c r="E2" s="45">
        <v>32</v>
      </c>
      <c r="F2" s="46" t="s">
        <v>127</v>
      </c>
      <c r="G2" s="46" t="s">
        <v>130</v>
      </c>
      <c r="H2" s="45">
        <v>5</v>
      </c>
      <c r="I2" s="45">
        <v>5</v>
      </c>
      <c r="J2" s="46" t="s">
        <v>72</v>
      </c>
      <c r="K2" s="46" t="s">
        <v>247</v>
      </c>
    </row>
    <row r="3" spans="1:11" ht="20.100000000000001" customHeight="1" x14ac:dyDescent="0.25">
      <c r="A3" s="47" t="s">
        <v>248</v>
      </c>
      <c r="B3" s="48" t="s">
        <v>116</v>
      </c>
      <c r="C3" s="48" t="s">
        <v>119</v>
      </c>
      <c r="D3" s="47">
        <v>1</v>
      </c>
      <c r="E3" s="47">
        <v>37</v>
      </c>
      <c r="F3" s="48" t="s">
        <v>128</v>
      </c>
      <c r="G3" s="48" t="s">
        <v>132</v>
      </c>
      <c r="H3" s="47">
        <v>5</v>
      </c>
      <c r="I3" s="47">
        <v>5</v>
      </c>
      <c r="J3" s="48" t="s">
        <v>72</v>
      </c>
      <c r="K3" s="48" t="s">
        <v>249</v>
      </c>
    </row>
    <row r="4" spans="1:11" ht="20.100000000000001" customHeight="1" x14ac:dyDescent="0.25">
      <c r="A4" s="45" t="s">
        <v>250</v>
      </c>
      <c r="B4" s="46" t="s">
        <v>115</v>
      </c>
      <c r="C4" s="46" t="s">
        <v>119</v>
      </c>
      <c r="D4" s="45">
        <v>4</v>
      </c>
      <c r="E4" s="45">
        <v>15</v>
      </c>
      <c r="F4" s="46" t="s">
        <v>125</v>
      </c>
      <c r="G4" s="46" t="s">
        <v>133</v>
      </c>
      <c r="H4" s="45">
        <v>4</v>
      </c>
      <c r="I4" s="45">
        <v>1</v>
      </c>
      <c r="J4" s="46" t="s">
        <v>73</v>
      </c>
      <c r="K4" s="46" t="s">
        <v>247</v>
      </c>
    </row>
    <row r="5" spans="1:11" ht="20.100000000000001" customHeight="1" x14ac:dyDescent="0.25">
      <c r="A5" s="47" t="s">
        <v>251</v>
      </c>
      <c r="B5" s="48" t="s">
        <v>115</v>
      </c>
      <c r="C5" s="48" t="s">
        <v>120</v>
      </c>
      <c r="D5" s="47">
        <v>2</v>
      </c>
      <c r="E5" s="47">
        <v>43</v>
      </c>
      <c r="F5" s="48" t="s">
        <v>125</v>
      </c>
      <c r="G5" s="48" t="s">
        <v>130</v>
      </c>
      <c r="H5" s="47">
        <v>4</v>
      </c>
      <c r="I5" s="47">
        <v>5</v>
      </c>
      <c r="J5" s="48" t="s">
        <v>73</v>
      </c>
      <c r="K5" s="48" t="s">
        <v>252</v>
      </c>
    </row>
    <row r="6" spans="1:11" ht="20.100000000000001" customHeight="1" x14ac:dyDescent="0.25">
      <c r="A6" s="45" t="s">
        <v>253</v>
      </c>
      <c r="B6" s="46" t="s">
        <v>116</v>
      </c>
      <c r="C6" s="46" t="s">
        <v>120</v>
      </c>
      <c r="D6" s="45">
        <v>2</v>
      </c>
      <c r="E6" s="45">
        <v>19</v>
      </c>
      <c r="F6" s="46" t="s">
        <v>126</v>
      </c>
      <c r="G6" s="46" t="s">
        <v>130</v>
      </c>
      <c r="H6" s="45">
        <v>5</v>
      </c>
      <c r="I6" s="45">
        <v>3</v>
      </c>
      <c r="J6" s="46" t="s">
        <v>73</v>
      </c>
      <c r="K6" s="46" t="s">
        <v>254</v>
      </c>
    </row>
    <row r="7" spans="1:11" ht="20.100000000000001" customHeight="1" x14ac:dyDescent="0.25">
      <c r="A7" s="47" t="s">
        <v>255</v>
      </c>
      <c r="B7" s="48" t="s">
        <v>115</v>
      </c>
      <c r="C7" s="48" t="s">
        <v>120</v>
      </c>
      <c r="D7" s="47">
        <v>2</v>
      </c>
      <c r="E7" s="47">
        <v>42</v>
      </c>
      <c r="F7" s="48" t="s">
        <v>127</v>
      </c>
      <c r="G7" s="48" t="s">
        <v>130</v>
      </c>
      <c r="H7" s="47">
        <v>4</v>
      </c>
      <c r="I7" s="47">
        <v>4</v>
      </c>
      <c r="J7" s="48" t="s">
        <v>72</v>
      </c>
      <c r="K7" s="48" t="s">
        <v>247</v>
      </c>
    </row>
  </sheetData>
  <autoFilter ref="A1:K7" xr:uid="{00000000-0009-0000-0000-000008000000}"/>
  <conditionalFormatting sqref="D2:D1000">
    <cfRule type="colorScale" priority="1">
      <colorScale>
        <cfvo type="num" val="1"/>
        <cfvo type="num" val="3"/>
        <cfvo type="num" val="5"/>
        <color rgb="FFF8C9C4"/>
        <color rgb="FFF2F2F2"/>
        <color rgb="FFA9DFBF"/>
      </colorScale>
    </cfRule>
  </conditionalFormatting>
  <conditionalFormatting sqref="H2:H1000">
    <cfRule type="colorScale" priority="2">
      <colorScale>
        <cfvo type="num" val="1"/>
        <cfvo type="num" val="3"/>
        <cfvo type="num" val="5"/>
        <color rgb="FFF8C9C4"/>
        <color rgb="FFF2F2F2"/>
        <color rgb="FFA9DFBF"/>
      </colorScale>
    </cfRule>
  </conditionalFormatting>
  <conditionalFormatting sqref="I2:I1000">
    <cfRule type="colorScale" priority="3">
      <colorScale>
        <cfvo type="num" val="1"/>
        <cfvo type="num" val="3"/>
        <cfvo type="num" val="5"/>
        <color rgb="FFF8C9C4"/>
        <color rgb="FFF2F2F2"/>
        <color rgb="FFA9DFBF"/>
      </colorScale>
    </cfRule>
  </conditionalFormatting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9C0BB"/>
  </sheetPr>
  <dimension ref="A1:K7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customWidth="1"/>
    <col min="2" max="2" width="28" customWidth="1"/>
    <col min="3" max="3" width="15" customWidth="1"/>
    <col min="4" max="4" width="28" customWidth="1"/>
    <col min="5" max="5" width="15" customWidth="1"/>
    <col min="6" max="7" width="28" customWidth="1"/>
    <col min="8" max="8" width="15" customWidth="1"/>
    <col min="9" max="9" width="28" customWidth="1"/>
    <col min="10" max="10" width="15" customWidth="1"/>
    <col min="11" max="11" width="66" customWidth="1"/>
  </cols>
  <sheetData>
    <row r="1" spans="1:11" ht="72.95" customHeight="1" x14ac:dyDescent="0.25">
      <c r="A1" s="51" t="s">
        <v>157</v>
      </c>
      <c r="B1" s="51" t="s">
        <v>256</v>
      </c>
      <c r="C1" s="51" t="s">
        <v>257</v>
      </c>
      <c r="D1" s="51" t="s">
        <v>258</v>
      </c>
      <c r="E1" s="51" t="s">
        <v>259</v>
      </c>
      <c r="F1" s="51" t="s">
        <v>260</v>
      </c>
      <c r="G1" s="51" t="s">
        <v>261</v>
      </c>
      <c r="H1" s="51" t="s">
        <v>262</v>
      </c>
      <c r="I1" s="51" t="s">
        <v>263</v>
      </c>
      <c r="J1" s="51" t="s">
        <v>264</v>
      </c>
      <c r="K1" s="51" t="s">
        <v>265</v>
      </c>
    </row>
    <row r="2" spans="1:11" ht="20.100000000000001" customHeight="1" x14ac:dyDescent="0.25">
      <c r="A2" s="45" t="s">
        <v>266</v>
      </c>
      <c r="B2" s="46" t="s">
        <v>140</v>
      </c>
      <c r="C2" s="45">
        <v>5</v>
      </c>
      <c r="D2" s="46" t="s">
        <v>148</v>
      </c>
      <c r="E2" s="45">
        <v>4</v>
      </c>
      <c r="F2" s="46" t="s">
        <v>63</v>
      </c>
      <c r="G2" s="46" t="s">
        <v>73</v>
      </c>
      <c r="H2" s="45">
        <v>5</v>
      </c>
      <c r="I2" s="46" t="s">
        <v>72</v>
      </c>
      <c r="J2" s="45">
        <v>8</v>
      </c>
      <c r="K2" s="46" t="s">
        <v>267</v>
      </c>
    </row>
    <row r="3" spans="1:11" ht="20.100000000000001" customHeight="1" x14ac:dyDescent="0.25">
      <c r="A3" s="47" t="s">
        <v>268</v>
      </c>
      <c r="B3" s="48" t="s">
        <v>139</v>
      </c>
      <c r="C3" s="47">
        <v>2</v>
      </c>
      <c r="D3" s="48" t="s">
        <v>147</v>
      </c>
      <c r="E3" s="47">
        <v>4</v>
      </c>
      <c r="F3" s="48" t="s">
        <v>108</v>
      </c>
      <c r="G3" s="48" t="s">
        <v>72</v>
      </c>
      <c r="H3" s="47">
        <v>5</v>
      </c>
      <c r="I3" s="48" t="s">
        <v>153</v>
      </c>
      <c r="J3" s="47">
        <v>14</v>
      </c>
      <c r="K3" s="48" t="s">
        <v>267</v>
      </c>
    </row>
    <row r="4" spans="1:11" ht="20.100000000000001" customHeight="1" x14ac:dyDescent="0.25">
      <c r="A4" s="45" t="s">
        <v>269</v>
      </c>
      <c r="B4" s="46" t="s">
        <v>140</v>
      </c>
      <c r="C4" s="45">
        <v>4</v>
      </c>
      <c r="D4" s="46" t="s">
        <v>146</v>
      </c>
      <c r="E4" s="45">
        <v>2</v>
      </c>
      <c r="F4" s="46" t="s">
        <v>62</v>
      </c>
      <c r="G4" s="46" t="s">
        <v>73</v>
      </c>
      <c r="H4" s="45">
        <v>3</v>
      </c>
      <c r="I4" s="46" t="s">
        <v>74</v>
      </c>
      <c r="J4" s="45">
        <v>2</v>
      </c>
      <c r="K4" s="46" t="s">
        <v>270</v>
      </c>
    </row>
    <row r="5" spans="1:11" ht="20.100000000000001" customHeight="1" x14ac:dyDescent="0.25">
      <c r="A5" s="47" t="s">
        <v>271</v>
      </c>
      <c r="B5" s="48" t="s">
        <v>139</v>
      </c>
      <c r="C5" s="47">
        <v>5</v>
      </c>
      <c r="D5" s="48" t="s">
        <v>149</v>
      </c>
      <c r="E5" s="47">
        <v>1</v>
      </c>
      <c r="F5" s="48" t="s">
        <v>61</v>
      </c>
      <c r="G5" s="48" t="s">
        <v>74</v>
      </c>
      <c r="H5" s="47">
        <v>4</v>
      </c>
      <c r="I5" s="48" t="s">
        <v>153</v>
      </c>
      <c r="J5" s="47">
        <v>7</v>
      </c>
      <c r="K5" s="48" t="s">
        <v>272</v>
      </c>
    </row>
    <row r="6" spans="1:11" ht="20.100000000000001" customHeight="1" x14ac:dyDescent="0.25">
      <c r="A6" s="45" t="s">
        <v>273</v>
      </c>
      <c r="B6" s="46" t="s">
        <v>140</v>
      </c>
      <c r="C6" s="45">
        <v>4</v>
      </c>
      <c r="D6" s="46" t="s">
        <v>148</v>
      </c>
      <c r="E6" s="45">
        <v>1</v>
      </c>
      <c r="F6" s="46" t="s">
        <v>108</v>
      </c>
      <c r="G6" s="46" t="s">
        <v>72</v>
      </c>
      <c r="H6" s="45">
        <v>4</v>
      </c>
      <c r="I6" s="46" t="s">
        <v>74</v>
      </c>
      <c r="J6" s="45">
        <v>12</v>
      </c>
      <c r="K6" s="46" t="s">
        <v>274</v>
      </c>
    </row>
    <row r="7" spans="1:11" ht="20.100000000000001" customHeight="1" x14ac:dyDescent="0.25">
      <c r="A7" s="47" t="s">
        <v>275</v>
      </c>
      <c r="B7" s="48" t="s">
        <v>141</v>
      </c>
      <c r="C7" s="47">
        <v>4</v>
      </c>
      <c r="D7" s="48" t="s">
        <v>147</v>
      </c>
      <c r="E7" s="47">
        <v>3</v>
      </c>
      <c r="F7" s="48" t="s">
        <v>62</v>
      </c>
      <c r="G7" s="48" t="s">
        <v>74</v>
      </c>
      <c r="H7" s="47">
        <v>1</v>
      </c>
      <c r="I7" s="48" t="s">
        <v>153</v>
      </c>
      <c r="J7" s="47">
        <v>16</v>
      </c>
      <c r="K7" s="48" t="s">
        <v>274</v>
      </c>
    </row>
  </sheetData>
  <autoFilter ref="A1:K7" xr:uid="{00000000-0009-0000-0000-000009000000}"/>
  <conditionalFormatting sqref="E2:E1000">
    <cfRule type="colorScale" priority="1">
      <colorScale>
        <cfvo type="num" val="1"/>
        <cfvo type="num" val="3"/>
        <cfvo type="num" val="5"/>
        <color rgb="FFF8C9C4"/>
        <color rgb="FFF2F2F2"/>
        <color rgb="FFA9DFBF"/>
      </colorScale>
    </cfRule>
  </conditionalFormatting>
  <conditionalFormatting sqref="H2:H1000">
    <cfRule type="colorScale" priority="2">
      <colorScale>
        <cfvo type="num" val="1"/>
        <cfvo type="num" val="3"/>
        <cfvo type="num" val="5"/>
        <color rgb="FFF8C9C4"/>
        <color rgb="FFF2F2F2"/>
        <color rgb="FFA9DFBF"/>
      </colorScale>
    </cfRule>
  </conditionalFormatting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F45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" customWidth="1"/>
    <col min="2" max="2" width="18" customWidth="1"/>
    <col min="3" max="3" width="8" customWidth="1"/>
    <col min="4" max="4" width="64" customWidth="1"/>
    <col min="5" max="5" width="14" customWidth="1"/>
    <col min="6" max="6" width="58" customWidth="1"/>
  </cols>
  <sheetData>
    <row r="1" spans="2:6" ht="32.1" customHeight="1" x14ac:dyDescent="0.25">
      <c r="B1" s="121" t="s">
        <v>276</v>
      </c>
      <c r="C1" s="70"/>
      <c r="D1" s="70"/>
      <c r="E1" s="70"/>
      <c r="F1" s="70"/>
    </row>
    <row r="3" spans="2:6" x14ac:dyDescent="0.25">
      <c r="B3" s="52" t="s">
        <v>36</v>
      </c>
      <c r="C3" s="52" t="s">
        <v>277</v>
      </c>
      <c r="D3" s="52" t="s">
        <v>278</v>
      </c>
      <c r="E3" s="52" t="s">
        <v>279</v>
      </c>
      <c r="F3" s="52" t="s">
        <v>280</v>
      </c>
    </row>
    <row r="4" spans="2:6" x14ac:dyDescent="0.25">
      <c r="B4" s="53" t="s">
        <v>2</v>
      </c>
      <c r="C4" s="54" t="s">
        <v>281</v>
      </c>
      <c r="D4" s="54" t="s">
        <v>282</v>
      </c>
      <c r="E4" s="54" t="s">
        <v>283</v>
      </c>
      <c r="F4" s="54" t="s">
        <v>284</v>
      </c>
    </row>
    <row r="5" spans="2:6" x14ac:dyDescent="0.25">
      <c r="B5" s="53" t="s">
        <v>2</v>
      </c>
      <c r="C5" s="54" t="s">
        <v>285</v>
      </c>
      <c r="D5" s="54" t="s">
        <v>286</v>
      </c>
      <c r="E5" s="54" t="s">
        <v>283</v>
      </c>
      <c r="F5" s="54" t="s">
        <v>287</v>
      </c>
    </row>
    <row r="6" spans="2:6" ht="25.5" x14ac:dyDescent="0.25">
      <c r="B6" s="53" t="s">
        <v>2</v>
      </c>
      <c r="C6" s="54" t="s">
        <v>288</v>
      </c>
      <c r="D6" s="54" t="s">
        <v>289</v>
      </c>
      <c r="E6" s="54" t="s">
        <v>283</v>
      </c>
      <c r="F6" s="54" t="s">
        <v>290</v>
      </c>
    </row>
    <row r="7" spans="2:6" x14ac:dyDescent="0.25">
      <c r="B7" s="53" t="s">
        <v>2</v>
      </c>
      <c r="C7" s="54" t="s">
        <v>291</v>
      </c>
      <c r="D7" s="54" t="s">
        <v>292</v>
      </c>
      <c r="E7" s="54" t="s">
        <v>283</v>
      </c>
      <c r="F7" s="54" t="s">
        <v>293</v>
      </c>
    </row>
    <row r="8" spans="2:6" x14ac:dyDescent="0.25">
      <c r="B8" s="53" t="s">
        <v>2</v>
      </c>
      <c r="C8" s="54" t="s">
        <v>294</v>
      </c>
      <c r="D8" s="54" t="s">
        <v>295</v>
      </c>
      <c r="E8" s="54" t="s">
        <v>283</v>
      </c>
      <c r="F8" s="54" t="s">
        <v>296</v>
      </c>
    </row>
    <row r="9" spans="2:6" x14ac:dyDescent="0.25">
      <c r="B9" s="53" t="s">
        <v>2</v>
      </c>
      <c r="C9" s="54" t="s">
        <v>297</v>
      </c>
      <c r="D9" s="54" t="s">
        <v>298</v>
      </c>
      <c r="E9" s="54" t="s">
        <v>299</v>
      </c>
      <c r="F9" s="54" t="s">
        <v>300</v>
      </c>
    </row>
    <row r="10" spans="2:6" x14ac:dyDescent="0.25">
      <c r="B10" s="53" t="s">
        <v>2</v>
      </c>
      <c r="C10" s="54" t="s">
        <v>301</v>
      </c>
      <c r="D10" s="54" t="s">
        <v>302</v>
      </c>
      <c r="E10" s="54" t="s">
        <v>283</v>
      </c>
      <c r="F10" s="54" t="s">
        <v>303</v>
      </c>
    </row>
    <row r="11" spans="2:6" x14ac:dyDescent="0.25">
      <c r="B11" s="53" t="s">
        <v>2</v>
      </c>
      <c r="C11" s="54" t="s">
        <v>304</v>
      </c>
      <c r="D11" s="54" t="s">
        <v>305</v>
      </c>
      <c r="E11" s="54" t="s">
        <v>299</v>
      </c>
      <c r="F11" s="54" t="s">
        <v>300</v>
      </c>
    </row>
    <row r="12" spans="2:6" x14ac:dyDescent="0.25">
      <c r="B12" s="53" t="s">
        <v>2</v>
      </c>
      <c r="C12" s="54" t="s">
        <v>306</v>
      </c>
      <c r="D12" s="54" t="s">
        <v>307</v>
      </c>
      <c r="E12" s="54" t="s">
        <v>299</v>
      </c>
      <c r="F12" s="54" t="s">
        <v>300</v>
      </c>
    </row>
    <row r="13" spans="2:6" x14ac:dyDescent="0.25">
      <c r="B13" s="53" t="s">
        <v>2</v>
      </c>
      <c r="C13" s="54" t="s">
        <v>308</v>
      </c>
      <c r="D13" s="54" t="s">
        <v>309</v>
      </c>
      <c r="E13" s="54" t="s">
        <v>299</v>
      </c>
      <c r="F13" s="54" t="s">
        <v>300</v>
      </c>
    </row>
    <row r="14" spans="2:6" x14ac:dyDescent="0.25">
      <c r="B14" s="53" t="s">
        <v>2</v>
      </c>
      <c r="C14" s="54" t="s">
        <v>310</v>
      </c>
      <c r="D14" s="54" t="s">
        <v>311</v>
      </c>
      <c r="E14" s="54" t="s">
        <v>312</v>
      </c>
      <c r="F14" s="54" t="s">
        <v>313</v>
      </c>
    </row>
    <row r="15" spans="2:6" x14ac:dyDescent="0.25">
      <c r="B15" s="55" t="s">
        <v>3</v>
      </c>
      <c r="C15" s="54" t="s">
        <v>314</v>
      </c>
      <c r="D15" s="54" t="s">
        <v>315</v>
      </c>
      <c r="E15" s="54" t="s">
        <v>283</v>
      </c>
      <c r="F15" s="54" t="s">
        <v>316</v>
      </c>
    </row>
    <row r="16" spans="2:6" ht="25.5" x14ac:dyDescent="0.25">
      <c r="B16" s="55" t="s">
        <v>3</v>
      </c>
      <c r="C16" s="54" t="s">
        <v>317</v>
      </c>
      <c r="D16" s="54" t="s">
        <v>318</v>
      </c>
      <c r="E16" s="54" t="s">
        <v>283</v>
      </c>
      <c r="F16" s="54" t="s">
        <v>319</v>
      </c>
    </row>
    <row r="17" spans="2:6" ht="25.5" x14ac:dyDescent="0.25">
      <c r="B17" s="55" t="s">
        <v>3</v>
      </c>
      <c r="C17" s="54" t="s">
        <v>320</v>
      </c>
      <c r="D17" s="54" t="s">
        <v>321</v>
      </c>
      <c r="E17" s="54" t="s">
        <v>322</v>
      </c>
      <c r="F17" s="54" t="s">
        <v>322</v>
      </c>
    </row>
    <row r="18" spans="2:6" x14ac:dyDescent="0.25">
      <c r="B18" s="55" t="s">
        <v>3</v>
      </c>
      <c r="C18" s="54" t="s">
        <v>323</v>
      </c>
      <c r="D18" s="54" t="s">
        <v>324</v>
      </c>
      <c r="E18" s="54" t="s">
        <v>283</v>
      </c>
      <c r="F18" s="54" t="s">
        <v>325</v>
      </c>
    </row>
    <row r="19" spans="2:6" x14ac:dyDescent="0.25">
      <c r="B19" s="55" t="s">
        <v>3</v>
      </c>
      <c r="C19" s="54" t="s">
        <v>326</v>
      </c>
      <c r="D19" s="54" t="s">
        <v>327</v>
      </c>
      <c r="E19" s="54" t="s">
        <v>283</v>
      </c>
      <c r="F19" s="54" t="s">
        <v>328</v>
      </c>
    </row>
    <row r="20" spans="2:6" ht="25.5" x14ac:dyDescent="0.25">
      <c r="B20" s="55" t="s">
        <v>3</v>
      </c>
      <c r="C20" s="54" t="s">
        <v>329</v>
      </c>
      <c r="D20" s="54" t="s">
        <v>330</v>
      </c>
      <c r="E20" s="54" t="s">
        <v>299</v>
      </c>
      <c r="F20" s="54" t="s">
        <v>331</v>
      </c>
    </row>
    <row r="21" spans="2:6" x14ac:dyDescent="0.25">
      <c r="B21" s="55" t="s">
        <v>3</v>
      </c>
      <c r="C21" s="54" t="s">
        <v>332</v>
      </c>
      <c r="D21" s="54" t="s">
        <v>333</v>
      </c>
      <c r="E21" s="54" t="s">
        <v>299</v>
      </c>
      <c r="F21" s="54" t="s">
        <v>331</v>
      </c>
    </row>
    <row r="22" spans="2:6" x14ac:dyDescent="0.25">
      <c r="B22" s="55" t="s">
        <v>3</v>
      </c>
      <c r="C22" s="54" t="s">
        <v>334</v>
      </c>
      <c r="D22" s="54" t="s">
        <v>335</v>
      </c>
      <c r="E22" s="54" t="s">
        <v>299</v>
      </c>
      <c r="F22" s="54" t="s">
        <v>331</v>
      </c>
    </row>
    <row r="23" spans="2:6" x14ac:dyDescent="0.25">
      <c r="B23" s="55" t="s">
        <v>3</v>
      </c>
      <c r="C23" s="54" t="s">
        <v>336</v>
      </c>
      <c r="D23" s="54" t="s">
        <v>337</v>
      </c>
      <c r="E23" s="54" t="s">
        <v>322</v>
      </c>
      <c r="F23" s="54" t="s">
        <v>322</v>
      </c>
    </row>
    <row r="24" spans="2:6" x14ac:dyDescent="0.25">
      <c r="B24" s="55" t="s">
        <v>3</v>
      </c>
      <c r="C24" s="54" t="s">
        <v>338</v>
      </c>
      <c r="D24" s="54" t="s">
        <v>339</v>
      </c>
      <c r="E24" s="54" t="s">
        <v>299</v>
      </c>
      <c r="F24" s="54" t="s">
        <v>300</v>
      </c>
    </row>
    <row r="25" spans="2:6" x14ac:dyDescent="0.25">
      <c r="B25" s="55" t="s">
        <v>3</v>
      </c>
      <c r="C25" s="54" t="s">
        <v>340</v>
      </c>
      <c r="D25" s="54" t="s">
        <v>341</v>
      </c>
      <c r="E25" s="54" t="s">
        <v>312</v>
      </c>
      <c r="F25" s="54" t="s">
        <v>313</v>
      </c>
    </row>
    <row r="26" spans="2:6" x14ac:dyDescent="0.25">
      <c r="B26" s="56" t="s">
        <v>4</v>
      </c>
      <c r="C26" s="54" t="s">
        <v>342</v>
      </c>
      <c r="D26" s="54" t="s">
        <v>315</v>
      </c>
      <c r="E26" s="54" t="s">
        <v>283</v>
      </c>
      <c r="F26" s="54" t="s">
        <v>343</v>
      </c>
    </row>
    <row r="27" spans="2:6" x14ac:dyDescent="0.25">
      <c r="B27" s="56" t="s">
        <v>4</v>
      </c>
      <c r="C27" s="54" t="s">
        <v>344</v>
      </c>
      <c r="D27" s="54" t="s">
        <v>345</v>
      </c>
      <c r="E27" s="54" t="s">
        <v>283</v>
      </c>
      <c r="F27" s="54" t="s">
        <v>346</v>
      </c>
    </row>
    <row r="28" spans="2:6" x14ac:dyDescent="0.25">
      <c r="B28" s="56" t="s">
        <v>4</v>
      </c>
      <c r="C28" s="54" t="s">
        <v>347</v>
      </c>
      <c r="D28" s="54" t="s">
        <v>348</v>
      </c>
      <c r="E28" s="54" t="s">
        <v>299</v>
      </c>
      <c r="F28" s="54" t="s">
        <v>300</v>
      </c>
    </row>
    <row r="29" spans="2:6" x14ac:dyDescent="0.25">
      <c r="B29" s="56" t="s">
        <v>4</v>
      </c>
      <c r="C29" s="54" t="s">
        <v>349</v>
      </c>
      <c r="D29" s="54" t="s">
        <v>350</v>
      </c>
      <c r="E29" s="54" t="s">
        <v>322</v>
      </c>
      <c r="F29" s="54" t="s">
        <v>322</v>
      </c>
    </row>
    <row r="30" spans="2:6" x14ac:dyDescent="0.25">
      <c r="B30" s="56" t="s">
        <v>4</v>
      </c>
      <c r="C30" s="54" t="s">
        <v>351</v>
      </c>
      <c r="D30" s="54" t="s">
        <v>352</v>
      </c>
      <c r="E30" s="54" t="s">
        <v>283</v>
      </c>
      <c r="F30" s="54" t="s">
        <v>353</v>
      </c>
    </row>
    <row r="31" spans="2:6" x14ac:dyDescent="0.25">
      <c r="B31" s="56" t="s">
        <v>4</v>
      </c>
      <c r="C31" s="54" t="s">
        <v>354</v>
      </c>
      <c r="D31" s="54" t="s">
        <v>355</v>
      </c>
      <c r="E31" s="54" t="s">
        <v>283</v>
      </c>
      <c r="F31" s="54" t="s">
        <v>356</v>
      </c>
    </row>
    <row r="32" spans="2:6" x14ac:dyDescent="0.25">
      <c r="B32" s="56" t="s">
        <v>4</v>
      </c>
      <c r="C32" s="54" t="s">
        <v>357</v>
      </c>
      <c r="D32" s="54" t="s">
        <v>358</v>
      </c>
      <c r="E32" s="54" t="s">
        <v>299</v>
      </c>
      <c r="F32" s="54" t="s">
        <v>331</v>
      </c>
    </row>
    <row r="33" spans="2:6" x14ac:dyDescent="0.25">
      <c r="B33" s="56" t="s">
        <v>4</v>
      </c>
      <c r="C33" s="54" t="s">
        <v>359</v>
      </c>
      <c r="D33" s="54" t="s">
        <v>360</v>
      </c>
      <c r="E33" s="54" t="s">
        <v>299</v>
      </c>
      <c r="F33" s="54" t="s">
        <v>331</v>
      </c>
    </row>
    <row r="34" spans="2:6" ht="25.5" x14ac:dyDescent="0.25">
      <c r="B34" s="56" t="s">
        <v>4</v>
      </c>
      <c r="C34" s="54" t="s">
        <v>361</v>
      </c>
      <c r="D34" s="54" t="s">
        <v>362</v>
      </c>
      <c r="E34" s="54" t="s">
        <v>283</v>
      </c>
      <c r="F34" s="54" t="s">
        <v>293</v>
      </c>
    </row>
    <row r="35" spans="2:6" x14ac:dyDescent="0.25">
      <c r="B35" s="56" t="s">
        <v>4</v>
      </c>
      <c r="C35" s="54" t="s">
        <v>363</v>
      </c>
      <c r="D35" s="54" t="s">
        <v>341</v>
      </c>
      <c r="E35" s="54" t="s">
        <v>312</v>
      </c>
      <c r="F35" s="54" t="s">
        <v>313</v>
      </c>
    </row>
    <row r="36" spans="2:6" x14ac:dyDescent="0.25">
      <c r="B36" s="57" t="s">
        <v>5</v>
      </c>
      <c r="C36" s="54" t="s">
        <v>364</v>
      </c>
      <c r="D36" s="54" t="s">
        <v>365</v>
      </c>
      <c r="E36" s="54" t="s">
        <v>283</v>
      </c>
      <c r="F36" s="54" t="s">
        <v>366</v>
      </c>
    </row>
    <row r="37" spans="2:6" x14ac:dyDescent="0.25">
      <c r="B37" s="57" t="s">
        <v>5</v>
      </c>
      <c r="C37" s="54" t="s">
        <v>367</v>
      </c>
      <c r="D37" s="54" t="s">
        <v>368</v>
      </c>
      <c r="E37" s="54" t="s">
        <v>322</v>
      </c>
      <c r="F37" s="54" t="s">
        <v>322</v>
      </c>
    </row>
    <row r="38" spans="2:6" x14ac:dyDescent="0.25">
      <c r="B38" s="57" t="s">
        <v>5</v>
      </c>
      <c r="C38" s="54" t="s">
        <v>369</v>
      </c>
      <c r="D38" s="54" t="s">
        <v>370</v>
      </c>
      <c r="E38" s="54" t="s">
        <v>283</v>
      </c>
      <c r="F38" s="54" t="s">
        <v>371</v>
      </c>
    </row>
    <row r="39" spans="2:6" x14ac:dyDescent="0.25">
      <c r="B39" s="57" t="s">
        <v>5</v>
      </c>
      <c r="C39" s="54" t="s">
        <v>372</v>
      </c>
      <c r="D39" s="54" t="s">
        <v>373</v>
      </c>
      <c r="E39" s="54" t="s">
        <v>299</v>
      </c>
      <c r="F39" s="54" t="s">
        <v>300</v>
      </c>
    </row>
    <row r="40" spans="2:6" x14ac:dyDescent="0.25">
      <c r="B40" s="57" t="s">
        <v>5</v>
      </c>
      <c r="C40" s="54" t="s">
        <v>374</v>
      </c>
      <c r="D40" s="54" t="s">
        <v>375</v>
      </c>
      <c r="E40" s="54" t="s">
        <v>283</v>
      </c>
      <c r="F40" s="54" t="s">
        <v>376</v>
      </c>
    </row>
    <row r="41" spans="2:6" x14ac:dyDescent="0.25">
      <c r="B41" s="57" t="s">
        <v>5</v>
      </c>
      <c r="C41" s="54" t="s">
        <v>377</v>
      </c>
      <c r="D41" s="54" t="s">
        <v>378</v>
      </c>
      <c r="E41" s="54" t="s">
        <v>283</v>
      </c>
      <c r="F41" s="54" t="s">
        <v>293</v>
      </c>
    </row>
    <row r="42" spans="2:6" x14ac:dyDescent="0.25">
      <c r="B42" s="57" t="s">
        <v>5</v>
      </c>
      <c r="C42" s="54" t="s">
        <v>379</v>
      </c>
      <c r="D42" s="54" t="s">
        <v>380</v>
      </c>
      <c r="E42" s="54" t="s">
        <v>299</v>
      </c>
      <c r="F42" s="54" t="s">
        <v>331</v>
      </c>
    </row>
    <row r="43" spans="2:6" x14ac:dyDescent="0.25">
      <c r="B43" s="57" t="s">
        <v>5</v>
      </c>
      <c r="C43" s="54" t="s">
        <v>381</v>
      </c>
      <c r="D43" s="54" t="s">
        <v>382</v>
      </c>
      <c r="E43" s="54" t="s">
        <v>283</v>
      </c>
      <c r="F43" s="54" t="s">
        <v>383</v>
      </c>
    </row>
    <row r="44" spans="2:6" x14ac:dyDescent="0.25">
      <c r="B44" s="57" t="s">
        <v>5</v>
      </c>
      <c r="C44" s="54" t="s">
        <v>384</v>
      </c>
      <c r="D44" s="54" t="s">
        <v>385</v>
      </c>
      <c r="E44" s="54" t="s">
        <v>322</v>
      </c>
      <c r="F44" s="54" t="s">
        <v>322</v>
      </c>
    </row>
    <row r="45" spans="2:6" x14ac:dyDescent="0.25">
      <c r="B45" s="57" t="s">
        <v>5</v>
      </c>
      <c r="C45" s="54" t="s">
        <v>386</v>
      </c>
      <c r="D45" s="54" t="s">
        <v>341</v>
      </c>
      <c r="E45" s="54" t="s">
        <v>312</v>
      </c>
      <c r="F45" s="54" t="s">
        <v>313</v>
      </c>
    </row>
  </sheetData>
  <mergeCells count="1">
    <mergeCell ref="B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C8"/>
  <sheetViews>
    <sheetView showGridLines="0" workbookViewId="0"/>
  </sheetViews>
  <sheetFormatPr defaultRowHeight="15" x14ac:dyDescent="0.25"/>
  <cols>
    <col min="1" max="1" width="2" customWidth="1"/>
    <col min="2" max="2" width="26" customWidth="1"/>
    <col min="3" max="3" width="100" customWidth="1"/>
  </cols>
  <sheetData>
    <row r="1" spans="2:3" ht="32.1" customHeight="1" x14ac:dyDescent="0.25">
      <c r="B1" s="121" t="s">
        <v>387</v>
      </c>
      <c r="C1" s="70"/>
    </row>
    <row r="3" spans="2:3" ht="30" customHeight="1" x14ac:dyDescent="0.25">
      <c r="B3" s="58" t="s">
        <v>388</v>
      </c>
      <c r="C3" s="59" t="s">
        <v>389</v>
      </c>
    </row>
    <row r="4" spans="2:3" ht="30" customHeight="1" x14ac:dyDescent="0.25">
      <c r="B4" s="58" t="s">
        <v>34</v>
      </c>
      <c r="C4" s="59" t="s">
        <v>390</v>
      </c>
    </row>
    <row r="5" spans="2:3" ht="30" customHeight="1" x14ac:dyDescent="0.25">
      <c r="B5" s="58" t="s">
        <v>391</v>
      </c>
      <c r="C5" s="59" t="s">
        <v>392</v>
      </c>
    </row>
    <row r="6" spans="2:3" ht="30" customHeight="1" x14ac:dyDescent="0.25">
      <c r="B6" s="58" t="s">
        <v>393</v>
      </c>
      <c r="C6" s="59" t="s">
        <v>394</v>
      </c>
    </row>
    <row r="7" spans="2:3" ht="30" customHeight="1" x14ac:dyDescent="0.25">
      <c r="B7" s="58" t="s">
        <v>276</v>
      </c>
      <c r="C7" s="59" t="s">
        <v>395</v>
      </c>
    </row>
    <row r="8" spans="2:3" ht="30" customHeight="1" x14ac:dyDescent="0.25">
      <c r="B8" s="58" t="s">
        <v>396</v>
      </c>
      <c r="C8" s="59" t="s">
        <v>397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Key findings</vt:lpstr>
      <vt:lpstr>Students</vt:lpstr>
      <vt:lpstr>Kitchen</vt:lpstr>
      <vt:lpstr>Hospital</vt:lpstr>
      <vt:lpstr>Office</vt:lpstr>
      <vt:lpstr>Students_Data</vt:lpstr>
      <vt:lpstr>Kitchen_Data</vt:lpstr>
      <vt:lpstr>Hospital_Data</vt:lpstr>
      <vt:lpstr>Office_Data</vt:lpstr>
      <vt:lpstr>Questionnaires</vt:lpstr>
      <vt:lpstr>About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Jiwoo Ha</cp:lastModifiedBy>
  <dcterms:created xsi:type="dcterms:W3CDTF">2026-10-01T16:56:42Z</dcterms:created>
  <dcterms:modified xsi:type="dcterms:W3CDTF">2026-10-01T16:57:03Z</dcterms:modified>
</cp:coreProperties>
</file>