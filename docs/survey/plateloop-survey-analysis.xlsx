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findings" sheetId="2" state="visible" r:id="rId2"/>
    <sheet name="Students" sheetId="3" state="visible" r:id="rId3"/>
    <sheet name="Kitchen" sheetId="4" state="visible" r:id="rId4"/>
    <sheet name="Hospital" sheetId="5" state="visible" r:id="rId5"/>
    <sheet name="Office" sheetId="6" state="visible" r:id="rId6"/>
    <sheet name="Students_Data" sheetId="7" state="visible" r:id="rId7"/>
    <sheet name="Kitchen_Data" sheetId="8" state="visible" r:id="rId8"/>
    <sheet name="Hospital_Data" sheetId="9" state="visible" r:id="rId9"/>
    <sheet name="Office_Data" sheetId="10" state="visible" r:id="rId10"/>
    <sheet name="Questionnaires" sheetId="11" state="visible" r:id="rId11"/>
    <sheet name="About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1E7A44"/>
      <sz val="22"/>
    </font>
    <font>
      <name val="Arial"/>
      <color rgb="008A938E"/>
      <sz val="10"/>
    </font>
    <font>
      <name val="Arial"/>
      <b val="1"/>
      <color rgb="001B2420"/>
      <sz val="11"/>
    </font>
    <font>
      <name val="Arial"/>
      <b val="1"/>
      <color rgb="00FFFFFF"/>
      <sz val="9"/>
    </font>
    <font>
      <name val="Arial"/>
      <color rgb="001B2420"/>
      <sz val="10"/>
    </font>
    <font>
      <name val="Arial"/>
      <b val="1"/>
      <color rgb="001E7A44"/>
      <sz val="10"/>
    </font>
    <font>
      <name val="Arial"/>
      <color rgb="001B2420"/>
      <sz val="9.5"/>
    </font>
    <font>
      <name val="Arial"/>
      <b val="1"/>
      <color rgb="001B2420"/>
      <sz val="10"/>
    </font>
    <font>
      <name val="Arial"/>
      <b val="1"/>
      <color rgb="00C2671A"/>
      <sz val="22"/>
    </font>
    <font>
      <name val="Arial"/>
      <b val="1"/>
      <color rgb="00C2671A"/>
      <sz val="10"/>
    </font>
    <font>
      <name val="Arial"/>
      <b val="1"/>
      <color rgb="00C2671A"/>
      <sz val="16"/>
    </font>
    <font>
      <name val="Arial"/>
      <color rgb="004E5A54"/>
      <sz val="9"/>
    </font>
    <font>
      <name val="Arial"/>
      <b val="1"/>
      <color rgb="002A5FB0"/>
      <sz val="22"/>
    </font>
    <font>
      <name val="Arial"/>
      <b val="1"/>
      <color rgb="002A5FB0"/>
      <sz val="10"/>
    </font>
    <font>
      <name val="Arial"/>
      <b val="1"/>
      <color rgb="002A5FB0"/>
      <sz val="16"/>
    </font>
    <font>
      <name val="Arial"/>
      <b val="1"/>
      <color rgb="005145C4"/>
      <sz val="22"/>
    </font>
    <font>
      <name val="Arial"/>
      <b val="1"/>
      <color rgb="005145C4"/>
      <sz val="10"/>
    </font>
    <font>
      <name val="Arial"/>
      <b val="1"/>
      <color rgb="005145C4"/>
      <sz val="16"/>
    </font>
    <font>
      <name val="Arial"/>
      <b val="1"/>
      <color rgb="001E7A44"/>
      <sz val="13"/>
    </font>
    <font>
      <name val="Arial"/>
      <b val="1"/>
      <color rgb="001E7A44"/>
      <sz val="26"/>
    </font>
    <font>
      <name val="Arial"/>
      <b val="1"/>
      <color rgb="00C2671A"/>
      <sz val="26"/>
    </font>
    <font>
      <name val="Arial"/>
      <b val="1"/>
      <color rgb="002A5FB0"/>
      <sz val="26"/>
    </font>
    <font>
      <name val="Arial"/>
      <b val="1"/>
      <color rgb="005145C4"/>
      <sz val="26"/>
    </font>
    <font>
      <name val="Arial"/>
      <b val="1"/>
      <color rgb="001B2420"/>
      <sz val="24"/>
    </font>
    <font>
      <name val="Arial"/>
      <i val="1"/>
      <color rgb="008A938E"/>
      <sz val="9"/>
    </font>
    <font>
      <name val="Arial"/>
      <b val="1"/>
      <color rgb="00FFFFFF"/>
      <sz val="26"/>
    </font>
    <font>
      <name val="Arial"/>
      <color rgb="00FFFFFF"/>
      <sz val="9"/>
    </font>
    <font>
      <name val="Arial"/>
      <b val="1"/>
      <color rgb="00FFFFFF"/>
      <sz val="14"/>
    </font>
    <font>
      <name val="Arial"/>
      <b val="1"/>
      <color rgb="001B2420"/>
      <sz val="22"/>
    </font>
    <font>
      <name val="Arial"/>
      <color rgb="001B2420"/>
      <sz val="10.5"/>
    </font>
    <font>
      <name val="Arial"/>
      <b val="1"/>
      <color rgb="001B2420"/>
      <sz val="20"/>
    </font>
  </fonts>
  <fills count="12">
    <fill>
      <patternFill/>
    </fill>
    <fill>
      <patternFill patternType="gray125"/>
    </fill>
    <fill>
      <patternFill patternType="solid">
        <fgColor rgb="001E7A44"/>
      </patternFill>
    </fill>
    <fill>
      <patternFill patternType="solid">
        <fgColor rgb="00F6F7F6"/>
      </patternFill>
    </fill>
    <fill>
      <patternFill patternType="solid">
        <fgColor rgb="00C2671A"/>
      </patternFill>
    </fill>
    <fill>
      <patternFill patternType="solid">
        <fgColor rgb="00FBEEDF"/>
      </patternFill>
    </fill>
    <fill>
      <patternFill patternType="solid">
        <fgColor rgb="002A5FB0"/>
      </patternFill>
    </fill>
    <fill>
      <patternFill patternType="solid">
        <fgColor rgb="00E4ECF8"/>
      </patternFill>
    </fill>
    <fill>
      <patternFill patternType="solid">
        <fgColor rgb="005145C4"/>
      </patternFill>
    </fill>
    <fill>
      <patternFill patternType="solid">
        <fgColor rgb="00ECEAFA"/>
      </patternFill>
    </fill>
    <fill>
      <patternFill patternType="solid">
        <fgColor rgb="00E6F4EC"/>
      </patternFill>
    </fill>
    <fill>
      <patternFill patternType="solid">
        <fgColor rgb="001B2420"/>
      </patternFill>
    </fill>
  </fills>
  <borders count="3">
    <border>
      <left/>
      <right/>
      <top/>
      <bottom/>
      <diagonal/>
    </border>
    <border>
      <bottom style="thin">
        <color rgb="00E2E6E3"/>
      </bottom>
    </border>
    <border>
      <bottom style="medium">
        <color rgb="00FFFFFF"/>
      </bottom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26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 wrapText="1"/>
    </xf>
    <xf numFmtId="0" fontId="28" fillId="11" borderId="0" applyAlignment="1" pivotButton="0" quotePrefix="0" xfId="0">
      <alignment horizontal="center" vertical="center" wrapText="1"/>
    </xf>
    <xf numFmtId="0" fontId="0" fillId="11" borderId="0" pivotButton="0" quotePrefix="0" xfId="0"/>
    <xf numFmtId="0" fontId="28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28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28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28" fillId="8" borderId="0" applyAlignment="1" pivotButton="0" quotePrefix="0" xfId="0">
      <alignment horizontal="center" vertical="center" wrapText="1"/>
    </xf>
    <xf numFmtId="0" fontId="0" fillId="8" borderId="0" pivotButton="0" quotePrefix="0" xfId="0"/>
    <xf numFmtId="0" fontId="29" fillId="11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30" fillId="2" borderId="0" applyAlignment="1" pivotButton="0" quotePrefix="0" xfId="0">
      <alignment horizontal="left" vertical="center" wrapText="1"/>
    </xf>
    <xf numFmtId="0" fontId="8" fillId="0" borderId="0" pivotButton="0" quotePrefix="0" xfId="0"/>
    <xf numFmtId="0" fontId="21" fillId="10" borderId="0" applyAlignment="1" pivotButton="0" quotePrefix="0" xfId="0">
      <alignment horizontal="center" vertical="center" wrapText="1"/>
    </xf>
    <xf numFmtId="0" fontId="0" fillId="10" borderId="0" pivotButton="0" quotePrefix="0" xfId="0"/>
    <xf numFmtId="9" fontId="22" fillId="10" borderId="0" applyAlignment="1" pivotButton="0" quotePrefix="0" xfId="0">
      <alignment horizontal="center" vertical="center" wrapText="1"/>
    </xf>
    <xf numFmtId="164" fontId="22" fillId="10" borderId="0" applyAlignment="1" pivotButton="0" quotePrefix="0" xfId="0">
      <alignment horizontal="center" vertical="center" wrapText="1"/>
    </xf>
    <xf numFmtId="0" fontId="14" fillId="1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30" fillId="4" borderId="0" applyAlignment="1" pivotButton="0" quotePrefix="0" xfId="0">
      <alignment horizontal="left" vertical="center" wrapText="1"/>
    </xf>
    <xf numFmtId="0" fontId="12" fillId="0" borderId="0" pivotButton="0" quotePrefix="0" xfId="0"/>
    <xf numFmtId="9" fontId="23" fillId="5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14" fillId="5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wrapText="1"/>
    </xf>
    <xf numFmtId="0" fontId="30" fillId="6" borderId="0" applyAlignment="1" pivotButton="0" quotePrefix="0" xfId="0">
      <alignment horizontal="left" vertical="center" wrapText="1"/>
    </xf>
    <xf numFmtId="0" fontId="16" fillId="0" borderId="0" pivotButton="0" quotePrefix="0" xfId="0"/>
    <xf numFmtId="9" fontId="24" fillId="7" borderId="0" applyAlignment="1" pivotButton="0" quotePrefix="0" xfId="0">
      <alignment horizontal="center" vertical="center" wrapText="1"/>
    </xf>
    <xf numFmtId="0" fontId="0" fillId="7" borderId="0" pivotButton="0" quotePrefix="0" xfId="0"/>
    <xf numFmtId="1" fontId="24" fillId="7" borderId="0" applyAlignment="1" pivotButton="0" quotePrefix="0" xfId="0">
      <alignment horizontal="center" vertical="center" wrapText="1"/>
    </xf>
    <xf numFmtId="0" fontId="14" fillId="7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center" wrapText="1"/>
    </xf>
    <xf numFmtId="0" fontId="30" fillId="8" borderId="0" applyAlignment="1" pivotButton="0" quotePrefix="0" xfId="0">
      <alignment horizontal="left" vertical="center" wrapText="1"/>
    </xf>
    <xf numFmtId="0" fontId="19" fillId="0" borderId="0" pivotButton="0" quotePrefix="0" xfId="0"/>
    <xf numFmtId="9" fontId="25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4" fillId="9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left" vertical="center" wrapText="1"/>
    </xf>
    <xf numFmtId="0" fontId="1" fillId="11" borderId="0" applyAlignment="1" pivotButton="0" quotePrefix="0" xfId="0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2" fillId="10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left" vertical="center" wrapText="1"/>
    </xf>
    <xf numFmtId="0" fontId="1" fillId="4" borderId="2" applyAlignment="1" pivotButton="0" quotePrefix="0" xfId="0">
      <alignment horizontal="center" vertical="center" wrapText="1"/>
    </xf>
    <xf numFmtId="0" fontId="32" fillId="5" borderId="2" applyAlignment="1" pivotButton="0" quotePrefix="0" xfId="0">
      <alignment horizontal="left" vertical="center" wrapText="1"/>
    </xf>
    <xf numFmtId="0" fontId="12" fillId="5" borderId="2" applyAlignment="1" pivotButton="0" quotePrefix="0" xfId="0">
      <alignment horizontal="left" vertical="center" wrapText="1"/>
    </xf>
    <xf numFmtId="0" fontId="1" fillId="6" borderId="2" applyAlignment="1" pivotButton="0" quotePrefix="0" xfId="0">
      <alignment horizontal="center" vertical="center" wrapText="1"/>
    </xf>
    <xf numFmtId="0" fontId="32" fillId="7" borderId="2" applyAlignment="1" pivotButton="0" quotePrefix="0" xfId="0">
      <alignment horizontal="left" vertical="center" wrapText="1"/>
    </xf>
    <xf numFmtId="0" fontId="16" fillId="7" borderId="2" applyAlignment="1" pivotButton="0" quotePrefix="0" xfId="0">
      <alignment horizontal="left" vertical="center" wrapText="1"/>
    </xf>
    <xf numFmtId="0" fontId="1" fillId="8" borderId="2" applyAlignment="1" pivotButton="0" quotePrefix="0" xfId="0">
      <alignment horizontal="center" vertical="center" wrapText="1"/>
    </xf>
    <xf numFmtId="0" fontId="32" fillId="9" borderId="2" applyAlignment="1" pivotButton="0" quotePrefix="0" xfId="0">
      <alignment horizontal="left" vertical="center" wrapText="1"/>
    </xf>
    <xf numFmtId="0" fontId="19" fillId="9" borderId="2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7" fillId="0" borderId="1" applyAlignment="1" pivotButton="0" quotePrefix="0" xfId="0">
      <alignment horizontal="center" vertical="center" wrapText="1"/>
    </xf>
    <xf numFmtId="9" fontId="8" fillId="0" borderId="1" applyAlignment="1" pivotButton="0" quotePrefix="0" xfId="0">
      <alignment horizontal="center" vertical="center" wrapText="1"/>
    </xf>
    <xf numFmtId="9" fontId="7" fillId="0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7" fillId="3" borderId="1" applyAlignment="1" pivotButton="0" quotePrefix="0" xfId="0">
      <alignment horizontal="center" vertical="center" wrapText="1"/>
    </xf>
    <xf numFmtId="9" fontId="8" fillId="3" borderId="1" applyAlignment="1" pivotButton="0" quotePrefix="0" xfId="0">
      <alignment horizontal="center" vertical="center" wrapText="1"/>
    </xf>
    <xf numFmtId="9" fontId="7" fillId="3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center" wrapText="1"/>
    </xf>
    <xf numFmtId="164" fontId="10" fillId="0" borderId="1" applyAlignment="1" pivotButton="0" quotePrefix="0" xfId="0">
      <alignment horizontal="center" vertical="center" wrapText="1"/>
    </xf>
    <xf numFmtId="9" fontId="0" fillId="0" borderId="1" pivotButton="0" quotePrefix="0" xfId="0"/>
    <xf numFmtId="0" fontId="11" fillId="0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9" fontId="12" fillId="0" borderId="1" applyAlignment="1" pivotButton="0" quotePrefix="0" xfId="0">
      <alignment horizontal="center" vertical="center" wrapText="1"/>
    </xf>
    <xf numFmtId="9" fontId="12" fillId="3" borderId="1" applyAlignment="1" pivotButton="0" quotePrefix="0" xfId="0">
      <alignment horizontal="center" vertical="center" wrapText="1"/>
    </xf>
    <xf numFmtId="164" fontId="13" fillId="5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 wrapText="1"/>
    </xf>
    <xf numFmtId="9" fontId="16" fillId="0" borderId="1" applyAlignment="1" pivotButton="0" quotePrefix="0" xfId="0">
      <alignment horizontal="center" vertical="center" wrapText="1"/>
    </xf>
    <xf numFmtId="9" fontId="16" fillId="3" borderId="1" applyAlignment="1" pivotButton="0" quotePrefix="0" xfId="0">
      <alignment horizontal="center" vertical="center" wrapText="1"/>
    </xf>
    <xf numFmtId="164" fontId="17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center" wrapText="1"/>
    </xf>
    <xf numFmtId="0" fontId="6" fillId="8" borderId="0" applyAlignment="1" pivotButton="0" quotePrefix="0" xfId="0">
      <alignment horizontal="left" vertical="center" wrapText="1"/>
    </xf>
    <xf numFmtId="9" fontId="19" fillId="0" borderId="1" applyAlignment="1" pivotButton="0" quotePrefix="0" xfId="0">
      <alignment horizontal="center" vertical="center" wrapText="1"/>
    </xf>
    <xf numFmtId="9" fontId="19" fillId="3" borderId="1" applyAlignment="1" pivotButton="0" quotePrefix="0" xfId="0">
      <alignment horizontal="center" vertical="center" wrapText="1"/>
    </xf>
    <xf numFmtId="164" fontId="20" fillId="9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33" fillId="0" borderId="0" applyAlignment="1" pivotButton="0" quotePrefix="0" xfId="0">
      <alignment horizontal="left" vertical="center" wrapText="1"/>
    </xf>
    <xf numFmtId="0" fontId="1" fillId="11" borderId="0" pivotButton="0" quotePrefix="0" xfId="0"/>
    <xf numFmtId="0" fontId="8" fillId="0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12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varyColors val="0"/>
        <ser>
          <idx val="0"/>
          <order val="0"/>
          <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spPr>
          <cat>
            <numRef>
              <f>'Students'!$B$25:$B$29</f>
            </numRef>
          </cat>
          <val>
            <numRef>
              <f>'Students'!$F$25:$F$29</f>
            </numRef>
          </val>
        </ser>
        <dLbls>
          <showLegendKey val="0"/>
          <showVal val="1"/>
          <showCatName val="0"/>
          <showSerName val="0"/>
          <showPercent val="0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15"/>
          <min val="0"/>
        </scaling>
        <delete val="1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varyColors val="0"/>
        <ser>
          <idx val="0"/>
          <order val="0"/>
          <spPr>
            <a:solidFill>
              <a:srgbClr val="C2671A"/>
            </a:solidFill>
            <a:ln>
              <a:solidFill>
                <a:srgbClr val="C2671A"/>
              </a:solidFill>
              <a:prstDash val="solid"/>
            </a:ln>
          </spPr>
          <cat>
            <numRef>
              <f>'Kitchen'!$B$17:$B$20</f>
            </numRef>
          </cat>
          <val>
            <numRef>
              <f>'Kitchen'!$F$17:$F$20</f>
            </numRef>
          </val>
        </ser>
        <dLbls>
          <showLegendKey val="0"/>
          <showVal val="1"/>
          <showCatName val="0"/>
          <showSerName val="0"/>
          <showPercent val="0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15"/>
          <min val="0"/>
        </scaling>
        <delete val="1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varyColors val="0"/>
        <ser>
          <idx val="0"/>
          <order val="0"/>
          <spPr>
            <a:solidFill>
              <a:srgbClr val="2A5FB0"/>
            </a:solidFill>
            <a:ln>
              <a:solidFill>
                <a:srgbClr val="2A5FB0"/>
              </a:solidFill>
              <a:prstDash val="solid"/>
            </a:ln>
          </spPr>
          <cat>
            <numRef>
              <f>'Hospital'!$B$29:$B$32</f>
            </numRef>
          </cat>
          <val>
            <numRef>
              <f>'Hospital'!$F$29:$F$32</f>
            </numRef>
          </val>
        </ser>
        <dLbls>
          <showLegendKey val="0"/>
          <showVal val="1"/>
          <showCatName val="0"/>
          <showSerName val="0"/>
          <showPercent val="0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15"/>
          <min val="0"/>
        </scaling>
        <delete val="1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varyColors val="0"/>
        <ser>
          <idx val="0"/>
          <order val="0"/>
          <spPr>
            <a:solidFill>
              <a:srgbClr val="5145C4"/>
            </a:solidFill>
            <a:ln>
              <a:solidFill>
                <a:srgbClr val="5145C4"/>
              </a:solidFill>
              <a:prstDash val="solid"/>
            </a:ln>
          </spPr>
          <cat>
            <numRef>
              <f>'Office'!$B$47:$B$49</f>
            </numRef>
          </cat>
          <val>
            <numRef>
              <f>'Office'!$F$47:$F$49</f>
            </numRef>
          </val>
        </ser>
        <dLbls>
          <showLegendKey val="0"/>
          <showVal val="1"/>
          <showCatName val="0"/>
          <showSerName val="0"/>
          <showPercent val="0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15"/>
          <min val="0"/>
        </scaling>
        <delete val="1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varyColors val="0"/>
        <ser>
          <idx val="0"/>
          <order val="0"/>
          <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spPr>
          <cat>
            <numRef>
              <f>'Students'!$B$56:$B$59</f>
            </numRef>
          </cat>
          <val>
            <numRef>
              <f>'Students'!$G$56:$G$59</f>
            </numRef>
          </val>
        </ser>
        <dLbls>
          <showLegendKey val="0"/>
          <showVal val="1"/>
          <showCatName val="0"/>
          <showSerName val="0"/>
          <showPercent val="0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15"/>
          <min val="0"/>
        </scaling>
        <delete val="1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Main reason for leaving food</a:t>
            </a:r>
          </a:p>
        </rich>
      </tx>
    </title>
    <plotArea>
      <barChart>
        <barDir val="bar"/>
        <grouping val="clustered"/>
        <varyColors val="0"/>
        <ser>
          <idx val="0"/>
          <order val="0"/>
          <spPr>
            <a:solidFill>
              <a:srgbClr val="1E7A44"/>
            </a:solidFill>
            <a:ln>
              <a:solidFill>
                <a:srgbClr val="1E7A44"/>
              </a:solidFill>
              <a:prstDash val="solid"/>
            </a:ln>
          </spPr>
          <cat>
            <numRef>
              <f>'Students'!$B$25:$B$29</f>
            </numRef>
          </cat>
          <val>
            <numRef>
              <f>'Students'!$F$25:$F$29</f>
            </numRef>
          </val>
        </ser>
        <dLbls>
          <showLegendKey val="0"/>
          <showVal val="1"/>
          <showCatName val="0"/>
          <showSerName val="0"/>
          <showPercent val="0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15"/>
          <min val="0"/>
        </scaling>
        <delete val="1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varyColors val="0"/>
        <ser>
          <idx val="0"/>
          <order val="0"/>
          <spPr>
            <a:solidFill>
              <a:srgbClr val="C2671A"/>
            </a:solidFill>
            <a:ln>
              <a:solidFill>
                <a:srgbClr val="C2671A"/>
              </a:solidFill>
              <a:prstDash val="solid"/>
            </a:ln>
          </spPr>
          <cat>
            <numRef>
              <f>'Kitchen'!$B$49:$B$52</f>
            </numRef>
          </cat>
          <val>
            <numRef>
              <f>'Kitchen'!$G$49:$G$52</f>
            </numRef>
          </val>
        </ser>
        <dLbls>
          <showLegendKey val="0"/>
          <showVal val="1"/>
          <showCatName val="0"/>
          <showSerName val="0"/>
          <showPercent val="0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15"/>
          <min val="0"/>
        </scaling>
        <delete val="1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How quantities are decided</a:t>
            </a:r>
          </a:p>
        </rich>
      </tx>
    </title>
    <plotArea>
      <barChart>
        <barDir val="bar"/>
        <grouping val="clustered"/>
        <varyColors val="0"/>
        <ser>
          <idx val="0"/>
          <order val="0"/>
          <spPr>
            <a:solidFill>
              <a:srgbClr val="C2671A"/>
            </a:solidFill>
            <a:ln>
              <a:solidFill>
                <a:srgbClr val="C2671A"/>
              </a:solidFill>
              <a:prstDash val="solid"/>
            </a:ln>
          </spPr>
          <cat>
            <numRef>
              <f>'Kitchen'!$B$17:$B$20</f>
            </numRef>
          </cat>
          <val>
            <numRef>
              <f>'Kitchen'!$F$17:$F$20</f>
            </numRef>
          </val>
        </ser>
        <dLbls>
          <showLegendKey val="0"/>
          <showVal val="1"/>
          <showCatName val="0"/>
          <showSerName val="0"/>
          <showPercent val="0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15"/>
          <min val="0"/>
        </scaling>
        <delete val="1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varyColors val="0"/>
        <ser>
          <idx val="0"/>
          <order val="0"/>
          <spPr>
            <a:solidFill>
              <a:srgbClr val="2A5FB0"/>
            </a:solidFill>
            <a:ln>
              <a:solidFill>
                <a:srgbClr val="2A5FB0"/>
              </a:solidFill>
              <a:prstDash val="solid"/>
            </a:ln>
          </spPr>
          <cat>
            <numRef>
              <f>'Hospital'!$B$53:$B$55</f>
            </numRef>
          </cat>
          <val>
            <numRef>
              <f>'Hospital'!$G$53:$G$55</f>
            </numRef>
          </val>
        </ser>
        <dLbls>
          <showLegendKey val="0"/>
          <showVal val="1"/>
          <showCatName val="0"/>
          <showSerName val="0"/>
          <showPercent val="0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15"/>
          <min val="0"/>
        </scaling>
        <delete val="1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When a poor eater is noticed</a:t>
            </a:r>
          </a:p>
        </rich>
      </tx>
    </title>
    <plotArea>
      <barChart>
        <barDir val="bar"/>
        <grouping val="clustered"/>
        <varyColors val="0"/>
        <ser>
          <idx val="0"/>
          <order val="0"/>
          <spPr>
            <a:solidFill>
              <a:srgbClr val="2A5FB0"/>
            </a:solidFill>
            <a:ln>
              <a:solidFill>
                <a:srgbClr val="2A5FB0"/>
              </a:solidFill>
              <a:prstDash val="solid"/>
            </a:ln>
          </spPr>
          <cat>
            <numRef>
              <f>'Hospital'!$B$29:$B$32</f>
            </numRef>
          </cat>
          <val>
            <numRef>
              <f>'Hospital'!$F$29:$F$32</f>
            </numRef>
          </val>
        </ser>
        <dLbls>
          <showLegendKey val="0"/>
          <showVal val="1"/>
          <showCatName val="0"/>
          <showSerName val="0"/>
          <showPercent val="0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15"/>
          <min val="0"/>
        </scaling>
        <delete val="1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plotArea>
      <barChart>
        <barDir val="bar"/>
        <grouping val="clustered"/>
        <varyColors val="0"/>
        <ser>
          <idx val="0"/>
          <order val="0"/>
          <spPr>
            <a:solidFill>
              <a:srgbClr val="5145C4"/>
            </a:solidFill>
            <a:ln>
              <a:solidFill>
                <a:srgbClr val="5145C4"/>
              </a:solidFill>
              <a:prstDash val="solid"/>
            </a:ln>
          </spPr>
          <cat>
            <numRef>
              <f>'Office'!$B$58:$B$59</f>
            </numRef>
          </cat>
          <val>
            <numRef>
              <f>'Office'!$G$58:$G$59</f>
            </numRef>
          </val>
        </ser>
        <dLbls>
          <showLegendKey val="0"/>
          <showVal val="1"/>
          <showCatName val="0"/>
          <showSerName val="0"/>
          <showPercent val="0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15"/>
          <min val="0"/>
        </scaling>
        <delete val="1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Share meal data with employer?</a:t>
            </a:r>
          </a:p>
        </rich>
      </tx>
    </title>
    <plotArea>
      <barChart>
        <barDir val="bar"/>
        <grouping val="clustered"/>
        <varyColors val="0"/>
        <ser>
          <idx val="0"/>
          <order val="0"/>
          <spPr>
            <a:solidFill>
              <a:srgbClr val="5145C4"/>
            </a:solidFill>
            <a:ln>
              <a:solidFill>
                <a:srgbClr val="5145C4"/>
              </a:solidFill>
              <a:prstDash val="solid"/>
            </a:ln>
          </spPr>
          <cat>
            <numRef>
              <f>'Office'!$B$47:$B$49</f>
            </numRef>
          </cat>
          <val>
            <numRef>
              <f>'Office'!$F$47:$F$49</f>
            </numRef>
          </val>
        </ser>
        <dLbls>
          <showLegendKey val="0"/>
          <showVal val="1"/>
          <showCatName val="0"/>
          <showSerName val="0"/>
          <showPercent val="0"/>
        </dLbls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15"/>
          <min val="0"/>
        </scaling>
        <delete val="1"/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PlateLoop</author>
  </authors>
  <commentList>
    <comment ref="A1" authorId="0" shapeId="0">
      <text>
        <t>Respondent ID</t>
      </text>
    </comment>
    <comment ref="B1" authorId="0" shapeId="0">
      <text>
        <t>Which are you?</t>
      </text>
    </comment>
    <comment ref="C1" authorId="0" shapeId="0">
      <text>
        <t>How often do you leave food on your tray?</t>
      </text>
    </comment>
    <comment ref="D1" authorId="0" shapeId="0">
      <text>
        <t>What is the main reason you leave food?</t>
      </text>
    </comment>
    <comment ref="E1" authorId="0" shapeId="0">
      <text>
        <t>Would you take a smaller portion if you could ask for one easily?</t>
      </text>
    </comment>
    <comment ref="F1" authorId="0" shapeId="0">
      <text>
        <t>Are you told to finish everything on your plate?</t>
      </text>
    </comment>
    <comment ref="G1" authorId="0" shapeId="0">
      <text>
        <t>I would like to see what I ate at lunch (food groups and nutrients).</t>
      </text>
    </comment>
    <comment ref="H1" authorId="0" shapeId="0">
      <text>
        <t>Which would you rather see about your lunch?</t>
      </text>
    </comment>
    <comment ref="I1" authorId="0" shapeId="0">
      <text>
        <t>I would scan my tray before and after lunch if it fed a virtual pet.</t>
      </text>
    </comment>
    <comment ref="J1" authorId="0" shapeId="0">
      <text>
        <t>A weekly class competition on food waste would motivate me.</t>
      </text>
    </comment>
    <comment ref="K1" authorId="0" shapeId="0">
      <text>
        <t>I would be comfortable signing in to a scanner with my face.</t>
      </text>
    </comment>
    <comment ref="L1" authorId="0" shapeId="0">
      <text>
        <t>Anything else about lunch or food waste at your canteen?</t>
      </text>
    </comment>
  </commentList>
</comments>
</file>

<file path=xl/comments/comment2.xml><?xml version="1.0" encoding="utf-8"?>
<comments xmlns="http://schemas.openxmlformats.org/spreadsheetml/2006/main">
  <authors>
    <author>PlateLoop</author>
  </authors>
  <commentList>
    <comment ref="A1" authorId="0" shapeId="0">
      <text>
        <t>Respondent ID</t>
      </text>
    </comment>
    <comment ref="B1" authorId="0" shapeId="0">
      <text>
        <t>What is your role?</t>
      </text>
    </comment>
    <comment ref="C1" authorId="0" shapeId="0">
      <text>
        <t>How do you mainly decide how much to cook each day?</t>
      </text>
    </comment>
    <comment ref="D1" authorId="0" shapeId="0">
      <text>
        <t>Roughly what percentage of the food you cook is thrown away on a typical day?</t>
      </text>
    </comment>
    <comment ref="E1" authorId="0" shapeId="0">
      <text>
        <t>Do you know which dishes come back on trays most?</t>
      </text>
    </comment>
    <comment ref="F1" authorId="0" shapeId="0">
      <text>
        <t>How often do you prepare more food than is eaten?</t>
      </text>
    </comment>
    <comment ref="G1" authorId="0" shapeId="0">
      <text>
        <t>A suggested order for tomorrow, based on what was eaten, would be useful.</t>
      </text>
    </comment>
    <comment ref="H1" authorId="0" shapeId="0">
      <text>
        <t>Seeing waste broken down by dish would be useful.</t>
      </text>
    </comment>
    <comment ref="I1" authorId="0" shapeId="0">
      <text>
        <t>A monthly carbon report would be useful.</t>
      </text>
    </comment>
    <comment ref="J1" authorId="0" shapeId="0">
      <text>
        <t>How many minutes a day do you spend planning orders and quantities?</t>
      </text>
    </comment>
    <comment ref="K1" authorId="0" shapeId="0">
      <text>
        <t>I am worried a new system would add to my workload.</t>
      </text>
    </comment>
    <comment ref="L1" authorId="0" shapeId="0">
      <text>
        <t>Anything else?</t>
      </text>
    </comment>
  </commentList>
</comments>
</file>

<file path=xl/comments/comment3.xml><?xml version="1.0" encoding="utf-8"?>
<comments xmlns="http://schemas.openxmlformats.org/spreadsheetml/2006/main">
  <authors>
    <author>PlateLoop</author>
  </authors>
  <commentList>
    <comment ref="A1" authorId="0" shapeId="0">
      <text>
        <t>Respondent ID</t>
      </text>
    </comment>
    <comment ref="B1" authorId="0" shapeId="0">
      <text>
        <t>What is your role?</t>
      </text>
    </comment>
    <comment ref="C1" authorId="0" shapeId="0">
      <text>
        <t>How is patients’ food intake mainly tracked on your ward?</t>
      </text>
    </comment>
    <comment ref="D1" authorId="0" shapeId="0">
      <text>
        <t>I am confident our intake records are accurate.</t>
      </text>
    </comment>
    <comment ref="E1" authorId="0" shapeId="0">
      <text>
        <t>How many minutes per shift do you spend documenting food intake?</t>
      </text>
    </comment>
    <comment ref="F1" authorId="0" shapeId="0">
      <text>
        <t>How quickly is a patient who stops eating usually noticed?</t>
      </text>
    </comment>
    <comment ref="G1" authorId="0" shapeId="0">
      <text>
        <t>What is the most common reason patients leave food?</t>
      </text>
    </comment>
    <comment ref="H1" authorId="0" shapeId="0">
      <text>
        <t>Automatic intake records for every tray would be useful.</t>
      </text>
    </comment>
    <comment ref="I1" authorId="0" shapeId="0">
      <text>
        <t>An alert that includes the patient’s reason for not eating would be useful.</t>
      </text>
    </comment>
    <comment ref="J1" authorId="0" shapeId="0">
      <text>
        <t>Would patients benefit from choosing their next day’s meals and portion size?</t>
      </text>
    </comment>
    <comment ref="K1" authorId="0" shapeId="0">
      <text>
        <t>Anything else?</t>
      </text>
    </comment>
  </commentList>
</comments>
</file>

<file path=xl/comments/comment4.xml><?xml version="1.0" encoding="utf-8"?>
<comments xmlns="http://schemas.openxmlformats.org/spreadsheetml/2006/main">
  <authors>
    <author>PlateLoop</author>
  </authors>
  <commentList>
    <comment ref="A1" authorId="0" shapeId="0">
      <text>
        <t>Respondent ID</t>
      </text>
    </comment>
    <comment ref="B1" authorId="0" shapeId="0">
      <text>
        <t>Your age group</t>
      </text>
    </comment>
    <comment ref="C1" authorId="0" shapeId="0">
      <text>
        <t>How many days a week do you eat at the office canteen?</t>
      </text>
    </comment>
    <comment ref="D1" authorId="0" shapeId="0">
      <text>
        <t>Do you have a health goal for your meals?</t>
      </text>
    </comment>
    <comment ref="E1" authorId="0" shapeId="0">
      <text>
        <t>I know the nutrients in my canteen lunch.</t>
      </text>
    </comment>
    <comment ref="F1" authorId="0" shapeId="0">
      <text>
        <t>How often do you feel an energy dip in the afternoon?</t>
      </text>
    </comment>
    <comment ref="G1" authorId="0" shapeId="0">
      <text>
        <t>Would you pre-order lunch to skip the queue?</t>
      </text>
    </comment>
    <comment ref="H1" authorId="0" shapeId="0">
      <text>
        <t>A daily lunch suggestion for my health goal would be useful.</t>
      </text>
    </comment>
    <comment ref="I1" authorId="0" shapeId="0">
      <text>
        <t>Would you share your meal data with your employer?</t>
      </text>
    </comment>
    <comment ref="J1" authorId="0" shapeId="0">
      <text>
        <t>How many minutes do you usually queue at lunch?</t>
      </text>
    </comment>
    <comment ref="K1" authorId="0" shapeId="0">
      <text>
        <t>Anything else?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9</row>
      <rowOff>0</rowOff>
    </from>
    <ext cx="3456000" cy="16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17</row>
      <rowOff>0</rowOff>
    </from>
    <ext cx="3456000" cy="16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13</col>
      <colOff>0</colOff>
      <row>25</row>
      <rowOff>0</rowOff>
    </from>
    <ext cx="3456000" cy="16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33</row>
      <rowOff>0</rowOff>
    </from>
    <ext cx="3456000" cy="16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23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23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23</row>
      <rowOff>0</rowOff>
    </from>
    <ext cx="540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23</row>
      <rowOff>0</rowOff>
    </from>
    <ext cx="5400000" cy="21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tudentsResponses" displayName="StudentsResponses" ref="A1:L31" headerRowCount="1">
  <autoFilter ref="A1:L31"/>
  <tableColumns count="12">
    <tableColumn id="1" name="ID"/>
    <tableColumn id="2" name="S1"/>
    <tableColumn id="3" name="S2"/>
    <tableColumn id="4" name="S3"/>
    <tableColumn id="5" name="S4"/>
    <tableColumn id="6" name="S5"/>
    <tableColumn id="7" name="S6"/>
    <tableColumn id="8" name="S7"/>
    <tableColumn id="9" name="S8"/>
    <tableColumn id="10" name="S9"/>
    <tableColumn id="11" name="S10"/>
    <tableColumn id="12" name="S11"/>
  </tableColumns>
  <tableStyleInfo name="TableStyleMedium4" showRowStripes="1"/>
</table>
</file>

<file path=xl/tables/table2.xml><?xml version="1.0" encoding="utf-8"?>
<table xmlns="http://schemas.openxmlformats.org/spreadsheetml/2006/main" id="2" name="KitchenResponses" displayName="KitchenResponses" ref="A1:L9" headerRowCount="1">
  <autoFilter ref="A1:L9"/>
  <tableColumns count="12">
    <tableColumn id="1" name="ID"/>
    <tableColumn id="2" name="K1"/>
    <tableColumn id="3" name="K2"/>
    <tableColumn id="4" name="K3"/>
    <tableColumn id="5" name="K4"/>
    <tableColumn id="6" name="K5"/>
    <tableColumn id="7" name="K6"/>
    <tableColumn id="8" name="K7"/>
    <tableColumn id="9" name="K8"/>
    <tableColumn id="10" name="K9"/>
    <tableColumn id="11" name="K10"/>
    <tableColumn id="12" name="K11"/>
  </tableColumns>
  <tableStyleInfo name="TableStyleMedium3" showRowStripes="1"/>
</table>
</file>

<file path=xl/tables/table3.xml><?xml version="1.0" encoding="utf-8"?>
<table xmlns="http://schemas.openxmlformats.org/spreadsheetml/2006/main" id="3" name="HospitalResponses" displayName="HospitalResponses" ref="A1:K7" headerRowCount="1">
  <autoFilter ref="A1:K7"/>
  <tableColumns count="11">
    <tableColumn id="1" name="ID"/>
    <tableColumn id="2" name="H1"/>
    <tableColumn id="3" name="H2"/>
    <tableColumn id="4" name="H3"/>
    <tableColumn id="5" name="H4"/>
    <tableColumn id="6" name="H5"/>
    <tableColumn id="7" name="H6"/>
    <tableColumn id="8" name="H7"/>
    <tableColumn id="9" name="H8"/>
    <tableColumn id="10" name="H9"/>
    <tableColumn id="11" name="H10"/>
  </tableColumns>
  <tableStyleInfo name="TableStyleMedium4" showRowStripes="1"/>
</table>
</file>

<file path=xl/tables/table4.xml><?xml version="1.0" encoding="utf-8"?>
<table xmlns="http://schemas.openxmlformats.org/spreadsheetml/2006/main" id="4" name="OfficeResponses" displayName="OfficeResponses" ref="A1:K7" headerRowCount="1">
  <autoFilter ref="A1:K7"/>
  <tableColumns count="11">
    <tableColumn id="1" name="ID"/>
    <tableColumn id="2" name="O1"/>
    <tableColumn id="3" name="O2"/>
    <tableColumn id="4" name="O3"/>
    <tableColumn id="5" name="O4"/>
    <tableColumn id="6" name="O5"/>
    <tableColumn id="7" name="O6"/>
    <tableColumn id="8" name="O7"/>
    <tableColumn id="9" name="O8"/>
    <tableColumn id="10" name="O9"/>
    <tableColumn id="11" name="O10"/>
  </tableColumns>
  <tableStyleInfo name="TableStyleMedium4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Q37"/>
  <sheetViews>
    <sheetView showGridLines="0" tabSelected="1" zoomScale="10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  <col width="10.5" customWidth="1" min="17" max="17"/>
  </cols>
  <sheetData>
    <row r="1" ht="40" customHeight="1">
      <c r="B1" s="1" t="inlineStr">
        <is>
          <t>PlateLoop survey · results at a glance</t>
        </is>
      </c>
    </row>
    <row r="2" ht="22" customHeight="1">
      <c r="B2" s="2" t="inlineStr">
        <is>
          <t>Illustrative data: sample responses created to show how the analysis works, not collected from real people.</t>
        </is>
      </c>
    </row>
    <row r="4" ht="40" customHeight="1">
      <c r="B4" s="3">
        <f>COUNTA('Students_Data'!$A$2:$A$1000)+COUNTA('Kitchen_Data'!$A$2:$A$1000)+COUNTA('Hospital_Data'!$A$2:$A$1000)+COUNTA('Office_Data'!$A$2:$A$1000)</f>
        <v/>
      </c>
      <c r="C4" s="4" t="n"/>
      <c r="D4" s="4" t="n"/>
      <c r="E4" s="5">
        <f>COUNTA('Students_Data'!$A$2:$A$1000)</f>
        <v/>
      </c>
      <c r="F4" s="6" t="n"/>
      <c r="G4" s="6" t="n"/>
      <c r="H4" s="7">
        <f>COUNTA('Kitchen_Data'!$A$2:$A$1000)</f>
        <v/>
      </c>
      <c r="I4" s="8" t="n"/>
      <c r="J4" s="8" t="n"/>
      <c r="K4" s="9">
        <f>COUNTA('Hospital_Data'!$A$2:$A$1000)</f>
        <v/>
      </c>
      <c r="L4" s="10" t="n"/>
      <c r="M4" s="10" t="n"/>
      <c r="N4" s="11">
        <f>COUNTA('Office_Data'!$A$2:$A$1000)</f>
        <v/>
      </c>
      <c r="O4" s="12" t="n"/>
      <c r="P4" s="12" t="n"/>
    </row>
    <row r="5" ht="22" customHeight="1">
      <c r="B5" s="13" t="inlineStr">
        <is>
          <t>responses in total</t>
        </is>
      </c>
      <c r="C5" s="4" t="n"/>
      <c r="D5" s="4" t="n"/>
      <c r="E5" s="14" t="inlineStr">
        <is>
          <t>Students</t>
        </is>
      </c>
      <c r="F5" s="6" t="n"/>
      <c r="G5" s="6" t="n"/>
      <c r="H5" s="15" t="inlineStr">
        <is>
          <t>Kitchen staff</t>
        </is>
      </c>
      <c r="I5" s="8" t="n"/>
      <c r="J5" s="8" t="n"/>
      <c r="K5" s="16" t="inlineStr">
        <is>
          <t>Hospital staff</t>
        </is>
      </c>
      <c r="L5" s="10" t="n"/>
      <c r="M5" s="10" t="n"/>
      <c r="N5" s="17" t="inlineStr">
        <is>
          <t>Office workers</t>
        </is>
      </c>
      <c r="O5" s="12" t="n"/>
      <c r="P5" s="12" t="n"/>
    </row>
    <row r="8" ht="28" customHeight="1">
      <c r="B8" s="18" t="inlineStr">
        <is>
          <t xml:space="preserve">  Students</t>
        </is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</row>
    <row r="9">
      <c r="N9" s="19" t="inlineStr">
        <is>
          <t>Main reason for leaving food</t>
        </is>
      </c>
    </row>
    <row r="10" ht="44" customHeight="1">
      <c r="B10" s="20">
        <f>INDEX('Students'!$B$25:$B$29,MATCH(MAX('Students'!$F$25:$F$29),'Students'!$F$25:$F$29,0))</f>
        <v/>
      </c>
      <c r="C10" s="21" t="n"/>
      <c r="D10" s="21" t="n"/>
      <c r="E10" s="22">
        <f>MAX('Students'!$F$25:$F$29)</f>
        <v/>
      </c>
      <c r="F10" s="21" t="n"/>
      <c r="G10" s="21" t="n"/>
      <c r="H10" s="22">
        <f>'Students'!$F$48</f>
        <v/>
      </c>
      <c r="I10" s="21" t="n"/>
      <c r="J10" s="21" t="n"/>
      <c r="K10" s="23">
        <f>'Students'!$F$57</f>
        <v/>
      </c>
      <c r="L10" s="21" t="n"/>
      <c r="M10" s="21" t="n"/>
    </row>
    <row r="11" ht="30" customHeight="1">
      <c r="B11" s="24" t="inlineStr">
        <is>
          <t>top reason for leaving food</t>
        </is>
      </c>
      <c r="C11" s="21" t="n"/>
      <c r="D11" s="21" t="n"/>
      <c r="E11" s="24" t="inlineStr">
        <is>
          <t>chose that reason</t>
        </is>
      </c>
      <c r="F11" s="21" t="n"/>
      <c r="G11" s="21" t="n"/>
      <c r="H11" s="24" t="inlineStr">
        <is>
          <t>prefer food groups to calories</t>
        </is>
      </c>
      <c r="I11" s="21" t="n"/>
      <c r="J11" s="21" t="n"/>
      <c r="K11" s="24" t="inlineStr">
        <is>
          <t>interest in the Loopi pet (out of 5)</t>
        </is>
      </c>
      <c r="L11" s="21" t="n"/>
      <c r="M11" s="21" t="n"/>
    </row>
    <row r="13" ht="30" customHeight="1">
      <c r="B13" s="25" t="inlineStr">
        <is>
          <t>→ Loopi: rewards the right portion, shows food groups instead of calories, and the pet gives students a reason to scan.</t>
        </is>
      </c>
    </row>
    <row r="16" ht="28" customHeight="1">
      <c r="B16" s="26" t="inlineStr">
        <is>
          <t xml:space="preserve">  Kitchen staff</t>
        </is>
      </c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</row>
    <row r="17">
      <c r="N17" s="27" t="inlineStr">
        <is>
          <t>How quantities are decided</t>
        </is>
      </c>
    </row>
    <row r="18" ht="44" customHeight="1">
      <c r="B18" s="28">
        <f>'Kitchen'!$F$17+'Kitchen'!$F$18</f>
        <v/>
      </c>
      <c r="C18" s="29" t="n"/>
      <c r="D18" s="29" t="n"/>
      <c r="E18" s="28">
        <f>'Kitchen'!$F$29</f>
        <v/>
      </c>
      <c r="F18" s="29" t="n"/>
      <c r="G18" s="29" t="n"/>
      <c r="H18" s="28">
        <f>'Kitchen'!$B$24/100</f>
        <v/>
      </c>
      <c r="I18" s="29" t="n"/>
      <c r="J18" s="29" t="n"/>
      <c r="K18" s="28">
        <f>'Kitchen'!$G$50</f>
        <v/>
      </c>
      <c r="L18" s="29" t="n"/>
      <c r="M18" s="29" t="n"/>
    </row>
    <row r="19" ht="30" customHeight="1">
      <c r="B19" s="30" t="inlineStr">
        <is>
          <t>plan by experience or headcount</t>
        </is>
      </c>
      <c r="C19" s="29" t="n"/>
      <c r="D19" s="29" t="n"/>
      <c r="E19" s="30" t="inlineStr">
        <is>
          <t>know which dishes come back</t>
        </is>
      </c>
      <c r="F19" s="29" t="n"/>
      <c r="G19" s="29" t="n"/>
      <c r="H19" s="30" t="inlineStr">
        <is>
          <t>of cooked food thrown away (estimate)</t>
        </is>
      </c>
      <c r="I19" s="29" t="n"/>
      <c r="J19" s="29" t="n"/>
      <c r="K19" s="30" t="inlineStr">
        <is>
          <t>want waste shown by dish</t>
        </is>
      </c>
      <c r="L19" s="29" t="n"/>
      <c r="M19" s="29" t="n"/>
    </row>
    <row r="21" ht="30" customHeight="1">
      <c r="B21" s="31" t="inlineStr">
        <is>
          <t>→ Kitchen dashboard: shows waste by dish and suggests tomorrow’s order from what was eaten, with no forms to fill in.</t>
        </is>
      </c>
    </row>
    <row r="24" ht="28" customHeight="1">
      <c r="B24" s="32" t="inlineStr">
        <is>
          <t xml:space="preserve">  Hospital staff</t>
        </is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</row>
    <row r="25">
      <c r="N25" s="33" t="inlineStr">
        <is>
          <t>When a poor eater is noticed</t>
        </is>
      </c>
    </row>
    <row r="26" ht="44" customHeight="1">
      <c r="B26" s="34">
        <f>'Hospital'!$G$53</f>
        <v/>
      </c>
      <c r="C26" s="35" t="n"/>
      <c r="D26" s="35" t="n"/>
      <c r="E26" s="36">
        <f>'Hospital'!$B$24</f>
        <v/>
      </c>
      <c r="F26" s="35" t="n"/>
      <c r="G26" s="35" t="n"/>
      <c r="H26" s="34">
        <f>'Hospital'!$F$29</f>
        <v/>
      </c>
      <c r="I26" s="35" t="n"/>
      <c r="J26" s="35" t="n"/>
      <c r="K26" s="34">
        <f>'Hospital'!$G$54</f>
        <v/>
      </c>
      <c r="L26" s="35" t="n"/>
      <c r="M26" s="35" t="n"/>
    </row>
    <row r="27" ht="30" customHeight="1">
      <c r="B27" s="37" t="inlineStr">
        <is>
          <t>trust their intake records</t>
        </is>
      </c>
      <c r="C27" s="35" t="n"/>
      <c r="D27" s="35" t="n"/>
      <c r="E27" s="37" t="inlineStr">
        <is>
          <t>minutes a shift on intake records</t>
        </is>
      </c>
      <c r="F27" s="35" t="n"/>
      <c r="G27" s="35" t="n"/>
      <c r="H27" s="37" t="inlineStr">
        <is>
          <t>poor eaters noticed the same day</t>
        </is>
      </c>
      <c r="I27" s="35" t="n"/>
      <c r="J27" s="35" t="n"/>
      <c r="K27" s="37" t="inlineStr">
        <is>
          <t>want automatic intake records</t>
        </is>
      </c>
      <c r="L27" s="35" t="n"/>
      <c r="M27" s="35" t="n"/>
    </row>
    <row r="29" ht="30" customHeight="1">
      <c r="B29" s="38" t="inlineStr">
        <is>
          <t>→ Loopi Care: records every tray automatically and alerts nurses the same day a patient eats poorly.</t>
        </is>
      </c>
    </row>
    <row r="32" ht="28" customHeight="1">
      <c r="B32" s="39" t="inlineStr">
        <is>
          <t xml:space="preserve">  Office workers</t>
        </is>
      </c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2" t="n"/>
      <c r="P32" s="12" t="n"/>
      <c r="Q32" s="12" t="n"/>
    </row>
    <row r="33">
      <c r="N33" s="40" t="inlineStr">
        <is>
          <t>Share meal data with employer?</t>
        </is>
      </c>
    </row>
    <row r="34" ht="44" customHeight="1">
      <c r="B34" s="41">
        <f>'Office'!$G$58</f>
        <v/>
      </c>
      <c r="C34" s="42" t="n"/>
      <c r="D34" s="42" t="n"/>
      <c r="E34" s="41">
        <f>'Office'!$F$34+'Office'!$F$35</f>
        <v/>
      </c>
      <c r="F34" s="42" t="n"/>
      <c r="G34" s="42" t="n"/>
      <c r="H34" s="41">
        <f>'Office'!$F$40</f>
        <v/>
      </c>
      <c r="I34" s="42" t="n"/>
      <c r="J34" s="42" t="n"/>
      <c r="K34" s="41">
        <f>'Office'!$F$48+'Office'!$F$49</f>
        <v/>
      </c>
      <c r="L34" s="42" t="n"/>
      <c r="M34" s="42" t="n"/>
    </row>
    <row r="35" ht="30" customHeight="1">
      <c r="B35" s="43" t="inlineStr">
        <is>
          <t>know the nutrients in their lunch</t>
        </is>
      </c>
      <c r="C35" s="42" t="n"/>
      <c r="D35" s="42" t="n"/>
      <c r="E35" s="43" t="inlineStr">
        <is>
          <t>afternoon energy dip often or daily</t>
        </is>
      </c>
      <c r="F35" s="42" t="n"/>
      <c r="G35" s="42" t="n"/>
      <c r="H35" s="43" t="inlineStr">
        <is>
          <t>would pre-order to skip the queue</t>
        </is>
      </c>
      <c r="I35" s="42" t="n"/>
      <c r="J35" s="42" t="n"/>
      <c r="K35" s="43" t="inlineStr">
        <is>
          <t>want meal data private or anonymous</t>
        </is>
      </c>
      <c r="L35" s="42" t="n"/>
      <c r="M35" s="42" t="n"/>
    </row>
    <row r="37" ht="30" customHeight="1">
      <c r="B37" s="44" t="inlineStr">
        <is>
          <t>→ Loopi Work: shows the nutrients in each lunch, offers pre-ordering, and keeps meal data private by default.</t>
        </is>
      </c>
    </row>
  </sheetData>
  <mergeCells count="52">
    <mergeCell ref="B11:D11"/>
    <mergeCell ref="E10:G10"/>
    <mergeCell ref="E19:G19"/>
    <mergeCell ref="N5:P5"/>
    <mergeCell ref="E34:G34"/>
    <mergeCell ref="B13:M13"/>
    <mergeCell ref="B24:Q24"/>
    <mergeCell ref="H11:J11"/>
    <mergeCell ref="B29:M29"/>
    <mergeCell ref="B34:D34"/>
    <mergeCell ref="B10:D10"/>
    <mergeCell ref="B19:D19"/>
    <mergeCell ref="E11:G11"/>
    <mergeCell ref="B32:Q32"/>
    <mergeCell ref="E27:G27"/>
    <mergeCell ref="K27:M27"/>
    <mergeCell ref="B37:M37"/>
    <mergeCell ref="H19:J19"/>
    <mergeCell ref="H27:J27"/>
    <mergeCell ref="E26:G26"/>
    <mergeCell ref="B16:Q16"/>
    <mergeCell ref="B5:D5"/>
    <mergeCell ref="K19:M19"/>
    <mergeCell ref="K10:M10"/>
    <mergeCell ref="H18:J18"/>
    <mergeCell ref="K4:M4"/>
    <mergeCell ref="H5:J5"/>
    <mergeCell ref="B35:D35"/>
    <mergeCell ref="B4:D4"/>
    <mergeCell ref="B26:D26"/>
    <mergeCell ref="E18:G18"/>
    <mergeCell ref="K18:M18"/>
    <mergeCell ref="H35:J35"/>
    <mergeCell ref="N4:P4"/>
    <mergeCell ref="B2:Q2"/>
    <mergeCell ref="H26:J26"/>
    <mergeCell ref="K34:M34"/>
    <mergeCell ref="H10:J10"/>
    <mergeCell ref="E5:G5"/>
    <mergeCell ref="K5:M5"/>
    <mergeCell ref="B1:Q1"/>
    <mergeCell ref="B8:Q8"/>
    <mergeCell ref="H4:J4"/>
    <mergeCell ref="B18:D18"/>
    <mergeCell ref="B27:D27"/>
    <mergeCell ref="E35:G35"/>
    <mergeCell ref="E4:G4"/>
    <mergeCell ref="H34:J34"/>
    <mergeCell ref="K35:M35"/>
    <mergeCell ref="K26:M26"/>
    <mergeCell ref="B21:M21"/>
    <mergeCell ref="K11:M1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D17"/>
  <sheetViews>
    <sheetView showGridLines="0" tabSelected="0" zoomScale="10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6" customWidth="1" min="2" max="2"/>
    <col width="78" customWidth="1" min="3" max="3"/>
    <col width="52" customWidth="1" min="4" max="4"/>
  </cols>
  <sheetData>
    <row r="1" ht="36" customHeight="1">
      <c r="B1" s="45" t="inlineStr">
        <is>
          <t>Key findings</t>
        </is>
      </c>
    </row>
    <row r="2">
      <c r="B2" s="2" t="inlineStr">
        <is>
          <t>Calculated live from the responses. Illustrative data: sample responses created to show how the analysis works, not collected from real people.</t>
        </is>
      </c>
    </row>
    <row r="4" ht="24" customHeight="1">
      <c r="B4" s="46" t="inlineStr">
        <is>
          <t>Group</t>
        </is>
      </c>
      <c r="C4" s="46" t="inlineStr">
        <is>
          <t>What the survey shows</t>
        </is>
      </c>
      <c r="D4" s="46" t="inlineStr">
        <is>
          <t>What PlateLoop does about it</t>
        </is>
      </c>
    </row>
    <row r="5" ht="44" customHeight="1">
      <c r="B5" s="47" t="inlineStr">
        <is>
          <t>Students</t>
        </is>
      </c>
      <c r="C5" s="48">
        <f>"The most common reason for leaving food is '"&amp;INDEX('Students'!$B$25:$B$29,MATCH(MAX('Students'!$F$25:$F$29),'Students'!$F$25:$F$29,0))&amp;"' ("&amp;TEXT(MAX('Students'!$F$25:$F$29),"0%")&amp;"); "&amp;TEXT('Students'!$F$34,"0%")&amp;" would take a smaller portion if they could ask easily."</f>
        <v/>
      </c>
      <c r="D5" s="49" t="inlineStr">
        <is>
          <t>The before scan and right-portion rewards in Loopi: a small plate finished counts fully.</t>
        </is>
      </c>
    </row>
    <row r="6" ht="44" customHeight="1">
      <c r="B6" s="47" t="inlineStr">
        <is>
          <t>Students</t>
        </is>
      </c>
      <c r="C6" s="48">
        <f>"When seeing what they ate, "&amp;TEXT('Students'!$F$48,"0%")&amp;" would rather see food groups and "&amp;TEXT('Students'!$F$49,"0%")&amp;" calories."</f>
        <v/>
      </c>
      <c r="D6" s="49" t="inlineStr">
        <is>
          <t>Loopi shows food groups by default; calories stay optional.</t>
        </is>
      </c>
    </row>
    <row r="7" ht="44" customHeight="1">
      <c r="B7" s="47" t="inlineStr">
        <is>
          <t>Students</t>
        </is>
      </c>
      <c r="C7" s="48">
        <f>"Interest in scanning trays to feed a virtual pet averages "&amp;TEXT('Students'!$F$57,"0.0")&amp;" out of 5; "&amp;TEXT('Students'!$G$57,"0%")&amp;" agree."</f>
        <v/>
      </c>
      <c r="D7" s="49" t="inlineStr">
        <is>
          <t>The Loopi pet as the reason students scan.</t>
        </is>
      </c>
    </row>
    <row r="8" ht="44" customHeight="1">
      <c r="B8" s="47" t="inlineStr">
        <is>
          <t>Students</t>
        </is>
      </c>
      <c r="C8" s="48">
        <f>TEXT('Students'!$G$59,"0%")&amp;" of students are comfortable with face sign-in."</f>
        <v/>
      </c>
      <c r="D8" s="49" t="inlineStr">
        <is>
          <t>Keep the class-and-number alternative; face sign-in stays optional.</t>
        </is>
      </c>
    </row>
    <row r="9" ht="44" customHeight="1">
      <c r="B9" s="50" t="inlineStr">
        <is>
          <t>Kitchen staff</t>
        </is>
      </c>
      <c r="C9" s="51">
        <f>TEXT('Kitchen'!$F$17+'Kitchen'!$F$18,"0%")&amp;" of kitchen staff decide quantities by experience or headcount; "&amp;TEXT('Kitchen'!$F$29,"0%")&amp;" know accurately which dishes come back."</f>
        <v/>
      </c>
      <c r="D9" s="52" t="inlineStr">
        <is>
          <t>Kitchen dashboard: waste by dish and a forecast from real eating data.</t>
        </is>
      </c>
    </row>
    <row r="10" ht="44" customHeight="1">
      <c r="B10" s="50" t="inlineStr">
        <is>
          <t>Kitchen staff</t>
        </is>
      </c>
      <c r="C10" s="51">
        <f>"Kitchen staff estimate "&amp;TEXT('Kitchen'!$B$24,"0")&amp;"% of cooked food is thrown away and spend "&amp;TEXT('Kitchen'!$B$44,"0")&amp;" minutes a day planning quantities."</f>
        <v/>
      </c>
      <c r="D10" s="52" t="inlineStr">
        <is>
          <t>A suggested order for tomorrow saves planning time and cuts over-preparation.</t>
        </is>
      </c>
    </row>
    <row r="11" ht="44" customHeight="1">
      <c r="B11" s="50" t="inlineStr">
        <is>
          <t>Kitchen staff</t>
        </is>
      </c>
      <c r="C11" s="51">
        <f>"A suggested order is rated useful by "&amp;TEXT('Kitchen'!$G$49,"0%")&amp;" and waste by dish by "&amp;TEXT('Kitchen'!$G$50,"0%")&amp;"; "&amp;TEXT('Kitchen'!$G$52,"0%")&amp;" worry about extra workload."</f>
        <v/>
      </c>
      <c r="D11" s="52" t="inlineStr">
        <is>
          <t>Measurement is automatic: no forms or manual entry for kitchen staff.</t>
        </is>
      </c>
    </row>
    <row r="12" ht="44" customHeight="1">
      <c r="B12" s="53" t="inlineStr">
        <is>
          <t>Hospital staff</t>
        </is>
      </c>
      <c r="C12" s="54">
        <f>TEXT('Hospital'!$G$53,"0%")&amp;" of hospital staff trust their intake records; documenting intake takes "&amp;TEXT('Hospital'!$B$24,"0")&amp;" minutes a shift."</f>
        <v/>
      </c>
      <c r="D12" s="55" t="inlineStr">
        <is>
          <t>Loopi Care records every tray automatically.</t>
        </is>
      </c>
    </row>
    <row r="13" ht="44" customHeight="1">
      <c r="B13" s="53" t="inlineStr">
        <is>
          <t>Hospital staff</t>
        </is>
      </c>
      <c r="C13" s="54">
        <f>"Staff say a patient who stops eating is noticed the same day in "&amp;TEXT('Hospital'!$F$29,"0%")&amp;" of cases."</f>
        <v/>
      </c>
      <c r="D13" s="55" t="inlineStr">
        <is>
          <t>Nurse-station alerts after poor meals, the same day.</t>
        </is>
      </c>
    </row>
    <row r="14" ht="44" customHeight="1">
      <c r="B14" s="53" t="inlineStr">
        <is>
          <t>Hospital staff</t>
        </is>
      </c>
      <c r="C14" s="54">
        <f>"Automatic intake records are rated useful by "&amp;TEXT('Hospital'!$G$54,"0%")&amp;"; "&amp;TEXT('Hospital'!$F$46,"0%")&amp;" say patients would benefit from choosing tomorrow’s meals."</f>
        <v/>
      </c>
      <c r="D14" s="55" t="inlineStr">
        <is>
          <t>Loopi Care: per-tray intake and patient meal choice.</t>
        </is>
      </c>
    </row>
    <row r="15" ht="44" customHeight="1">
      <c r="B15" s="56" t="inlineStr">
        <is>
          <t>Office workers</t>
        </is>
      </c>
      <c r="C15" s="57">
        <f>TEXT('Office'!$G$58,"0%")&amp;" of office workers know the nutrients in their lunch; "&amp;TEXT('Office'!$F$34+'Office'!$F$35,"0%")&amp;" feel an afternoon energy dip often or daily."</f>
        <v/>
      </c>
      <c r="D15" s="58" t="inlineStr">
        <is>
          <t>Loopi Work: nutrients per lunch and a 3 pm energy check-in.</t>
        </is>
      </c>
    </row>
    <row r="16" ht="44" customHeight="1">
      <c r="B16" s="56" t="inlineStr">
        <is>
          <t>Office workers</t>
        </is>
      </c>
      <c r="C16" s="57">
        <f>TEXT('Office'!$F$40,"0%")&amp;" would pre-order lunch to skip a typical "&amp;TEXT('Office'!$B$53,"0")&amp;"-minute queue."</f>
        <v/>
      </c>
      <c r="D16" s="58" t="inlineStr">
        <is>
          <t>Pre-ordering in Loopi Work; kitchens cook to orders.</t>
        </is>
      </c>
    </row>
    <row r="17" ht="44" customHeight="1">
      <c r="B17" s="56" t="inlineStr">
        <is>
          <t>Office workers</t>
        </is>
      </c>
      <c r="C17" s="57">
        <f>TEXT('Office'!$F$47,"0%")&amp;" would share meal data with their employer; "&amp;TEXT('Office'!$F$48,"0%")&amp;" would share anonymous totals only."</f>
        <v/>
      </c>
      <c r="D17" s="58" t="inlineStr">
        <is>
          <t>Private by default: employers see team totals, never names.</t>
        </is>
      </c>
    </row>
  </sheetData>
  <mergeCells count="2">
    <mergeCell ref="B1:D1"/>
    <mergeCell ref="B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7A44"/>
    <outlinePr summaryBelow="1" summaryRight="1"/>
    <pageSetUpPr/>
  </sheetPr>
  <dimension ref="B1:O59"/>
  <sheetViews>
    <sheetView showGridLines="0" tabSelected="0" zoomScale="10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34" customHeight="1">
      <c r="B1" s="59" t="inlineStr">
        <is>
          <t>Students</t>
        </is>
      </c>
    </row>
    <row r="2">
      <c r="B2" s="60">
        <f>COUNTA('Students_Data'!$A$2:$A$1000)&amp;" responses · illustrative data · PlateLoop answer: Loopi"</f>
        <v/>
      </c>
    </row>
    <row r="4" ht="44" customHeight="1">
      <c r="B4" s="20">
        <f>INDEX('Students'!$B$25:$B$29,MATCH(MAX('Students'!$F$25:$F$29),'Students'!$F$25:$F$29,0))</f>
        <v/>
      </c>
      <c r="C4" s="21" t="n"/>
      <c r="D4" s="21" t="n"/>
      <c r="E4" s="22">
        <f>MAX('Students'!$F$25:$F$29)</f>
        <v/>
      </c>
      <c r="F4" s="21" t="n"/>
      <c r="G4" s="21" t="n"/>
      <c r="H4" s="22">
        <f>'Students'!$F$48</f>
        <v/>
      </c>
      <c r="I4" s="21" t="n"/>
      <c r="J4" s="21" t="n"/>
      <c r="K4" s="23">
        <f>'Students'!$F$57</f>
        <v/>
      </c>
      <c r="L4" s="21" t="n"/>
      <c r="M4" s="21" t="n"/>
    </row>
    <row r="5" ht="30" customHeight="1">
      <c r="B5" s="24" t="inlineStr">
        <is>
          <t>top reason for leaving food</t>
        </is>
      </c>
      <c r="C5" s="21" t="n"/>
      <c r="D5" s="21" t="n"/>
      <c r="E5" s="24" t="inlineStr">
        <is>
          <t>chose that reason</t>
        </is>
      </c>
      <c r="F5" s="21" t="n"/>
      <c r="G5" s="21" t="n"/>
      <c r="H5" s="24" t="inlineStr">
        <is>
          <t>prefer food groups to calories</t>
        </is>
      </c>
      <c r="I5" s="21" t="n"/>
      <c r="J5" s="21" t="n"/>
      <c r="K5" s="24" t="inlineStr">
        <is>
          <t>interest in the Loopi pet (out of 5)</t>
        </is>
      </c>
      <c r="L5" s="21" t="n"/>
      <c r="M5" s="21" t="n"/>
    </row>
    <row r="8" ht="22" customHeight="1">
      <c r="B8" s="61" t="inlineStr">
        <is>
          <t>S1  ·  Which are you?</t>
        </is>
      </c>
    </row>
    <row r="9">
      <c r="B9" s="62" t="inlineStr">
        <is>
          <t>Answer</t>
        </is>
      </c>
      <c r="E9" s="14" t="inlineStr">
        <is>
          <t>People</t>
        </is>
      </c>
      <c r="F9" s="14" t="inlineStr">
        <is>
          <t>Share</t>
        </is>
      </c>
      <c r="G9" s="14" t="inlineStr"/>
    </row>
    <row r="10">
      <c r="B10" s="63" t="inlineStr">
        <is>
          <t>Secondary school</t>
        </is>
      </c>
      <c r="C10" s="64" t="n"/>
      <c r="D10" s="64" t="n"/>
      <c r="E10" s="65">
        <f>COUNTIF('Students_Data'!$B$2:$B$1000,B10)</f>
        <v/>
      </c>
      <c r="F10" s="66">
        <f>IFERROR(E10/SUM($E$10:$E$11),0)</f>
        <v/>
      </c>
      <c r="G10" s="67">
        <f>F10</f>
        <v/>
      </c>
      <c r="H10" s="64" t="n"/>
    </row>
    <row r="11">
      <c r="B11" s="68" t="inlineStr">
        <is>
          <t>University</t>
        </is>
      </c>
      <c r="C11" s="69" t="n"/>
      <c r="D11" s="69" t="n"/>
      <c r="E11" s="70">
        <f>COUNTIF('Students_Data'!$B$2:$B$1000,B11)</f>
        <v/>
      </c>
      <c r="F11" s="71">
        <f>IFERROR(E11/SUM($E$10:$E$11),0)</f>
        <v/>
      </c>
      <c r="G11" s="72">
        <f>F11</f>
        <v/>
      </c>
      <c r="H11" s="69" t="n"/>
    </row>
    <row r="14" ht="22" customHeight="1">
      <c r="B14" s="61" t="inlineStr">
        <is>
          <t>S2  ·  How often do you leave food on your tray?</t>
        </is>
      </c>
    </row>
    <row r="15">
      <c r="B15" s="62" t="inlineStr">
        <is>
          <t>Answer</t>
        </is>
      </c>
      <c r="E15" s="14" t="inlineStr">
        <is>
          <t>People</t>
        </is>
      </c>
      <c r="F15" s="14" t="inlineStr">
        <is>
          <t>Share</t>
        </is>
      </c>
      <c r="G15" s="14" t="inlineStr"/>
    </row>
    <row r="16">
      <c r="B16" s="63" t="inlineStr">
        <is>
          <t>Never</t>
        </is>
      </c>
      <c r="C16" s="64" t="n"/>
      <c r="D16" s="64" t="n"/>
      <c r="E16" s="65">
        <f>COUNTIF('Students_Data'!$C$2:$C$1000,B16)</f>
        <v/>
      </c>
      <c r="F16" s="66">
        <f>IFERROR(E16/SUM($E$16:$E$20),0)</f>
        <v/>
      </c>
      <c r="G16" s="67">
        <f>F16</f>
        <v/>
      </c>
      <c r="H16" s="64" t="n"/>
    </row>
    <row r="17">
      <c r="B17" s="68" t="inlineStr">
        <is>
          <t>Rarely</t>
        </is>
      </c>
      <c r="C17" s="69" t="n"/>
      <c r="D17" s="69" t="n"/>
      <c r="E17" s="70">
        <f>COUNTIF('Students_Data'!$C$2:$C$1000,B17)</f>
        <v/>
      </c>
      <c r="F17" s="71">
        <f>IFERROR(E17/SUM($E$16:$E$20),0)</f>
        <v/>
      </c>
      <c r="G17" s="72">
        <f>F17</f>
        <v/>
      </c>
      <c r="H17" s="69" t="n"/>
    </row>
    <row r="18">
      <c r="B18" s="63" t="inlineStr">
        <is>
          <t>Sometimes</t>
        </is>
      </c>
      <c r="C18" s="64" t="n"/>
      <c r="D18" s="64" t="n"/>
      <c r="E18" s="65">
        <f>COUNTIF('Students_Data'!$C$2:$C$1000,B18)</f>
        <v/>
      </c>
      <c r="F18" s="66">
        <f>IFERROR(E18/SUM($E$16:$E$20),0)</f>
        <v/>
      </c>
      <c r="G18" s="67">
        <f>F18</f>
        <v/>
      </c>
      <c r="H18" s="64" t="n"/>
    </row>
    <row r="19">
      <c r="B19" s="68" t="inlineStr">
        <is>
          <t>Often</t>
        </is>
      </c>
      <c r="C19" s="69" t="n"/>
      <c r="D19" s="69" t="n"/>
      <c r="E19" s="70">
        <f>COUNTIF('Students_Data'!$C$2:$C$1000,B19)</f>
        <v/>
      </c>
      <c r="F19" s="71">
        <f>IFERROR(E19/SUM($E$16:$E$20),0)</f>
        <v/>
      </c>
      <c r="G19" s="72">
        <f>F19</f>
        <v/>
      </c>
      <c r="H19" s="69" t="n"/>
    </row>
    <row r="20">
      <c r="B20" s="63" t="inlineStr">
        <is>
          <t>Almost always</t>
        </is>
      </c>
      <c r="C20" s="64" t="n"/>
      <c r="D20" s="64" t="n"/>
      <c r="E20" s="65">
        <f>COUNTIF('Students_Data'!$C$2:$C$1000,B20)</f>
        <v/>
      </c>
      <c r="F20" s="66">
        <f>IFERROR(E20/SUM($E$16:$E$20),0)</f>
        <v/>
      </c>
      <c r="G20" s="67">
        <f>F20</f>
        <v/>
      </c>
      <c r="H20" s="64" t="n"/>
    </row>
    <row r="23" ht="22" customHeight="1">
      <c r="B23" s="61" t="inlineStr">
        <is>
          <t>S3  ·  What is the main reason you leave food?</t>
        </is>
      </c>
    </row>
    <row r="24">
      <c r="B24" s="62" t="inlineStr">
        <is>
          <t>Answer</t>
        </is>
      </c>
      <c r="E24" s="14" t="inlineStr">
        <is>
          <t>People</t>
        </is>
      </c>
      <c r="F24" s="14" t="inlineStr">
        <is>
          <t>Share</t>
        </is>
      </c>
      <c r="G24" s="14" t="inlineStr"/>
    </row>
    <row r="25">
      <c r="B25" s="63" t="inlineStr">
        <is>
          <t>Portion too big</t>
        </is>
      </c>
      <c r="C25" s="64" t="n"/>
      <c r="D25" s="64" t="n"/>
      <c r="E25" s="65">
        <f>COUNTIF('Students_Data'!$D$2:$D$1000,B25)</f>
        <v/>
      </c>
      <c r="F25" s="66">
        <f>IFERROR(E25/SUM($E$25:$E$29),0)</f>
        <v/>
      </c>
      <c r="G25" s="67">
        <f>F25</f>
        <v/>
      </c>
      <c r="H25" s="64" t="n"/>
    </row>
    <row r="26">
      <c r="B26" s="68" t="inlineStr">
        <is>
          <t>Don’t like the taste</t>
        </is>
      </c>
      <c r="C26" s="69" t="n"/>
      <c r="D26" s="69" t="n"/>
      <c r="E26" s="70">
        <f>COUNTIF('Students_Data'!$D$2:$D$1000,B26)</f>
        <v/>
      </c>
      <c r="F26" s="71">
        <f>IFERROR(E26/SUM($E$25:$E$29),0)</f>
        <v/>
      </c>
      <c r="G26" s="72">
        <f>F26</f>
        <v/>
      </c>
      <c r="H26" s="69" t="n"/>
    </row>
    <row r="27">
      <c r="B27" s="63" t="inlineStr">
        <is>
          <t>Not hungry</t>
        </is>
      </c>
      <c r="C27" s="64" t="n"/>
      <c r="D27" s="64" t="n"/>
      <c r="E27" s="65">
        <f>COUNTIF('Students_Data'!$D$2:$D$1000,B27)</f>
        <v/>
      </c>
      <c r="F27" s="66">
        <f>IFERROR(E27/SUM($E$25:$E$29),0)</f>
        <v/>
      </c>
      <c r="G27" s="67">
        <f>F27</f>
        <v/>
      </c>
      <c r="H27" s="64" t="n"/>
    </row>
    <row r="28">
      <c r="B28" s="68" t="inlineStr">
        <is>
          <t>Ran out of time</t>
        </is>
      </c>
      <c r="C28" s="69" t="n"/>
      <c r="D28" s="69" t="n"/>
      <c r="E28" s="70">
        <f>COUNTIF('Students_Data'!$D$2:$D$1000,B28)</f>
        <v/>
      </c>
      <c r="F28" s="71">
        <f>IFERROR(E28/SUM($E$25:$E$29),0)</f>
        <v/>
      </c>
      <c r="G28" s="72">
        <f>F28</f>
        <v/>
      </c>
      <c r="H28" s="69" t="n"/>
    </row>
    <row r="29">
      <c r="B29" s="63" t="inlineStr">
        <is>
          <t>Didn’t recognise the dish</t>
        </is>
      </c>
      <c r="C29" s="64" t="n"/>
      <c r="D29" s="64" t="n"/>
      <c r="E29" s="65">
        <f>COUNTIF('Students_Data'!$D$2:$D$1000,B29)</f>
        <v/>
      </c>
      <c r="F29" s="66">
        <f>IFERROR(E29/SUM($E$25:$E$29),0)</f>
        <v/>
      </c>
      <c r="G29" s="67">
        <f>F29</f>
        <v/>
      </c>
      <c r="H29" s="64" t="n"/>
    </row>
    <row r="32" ht="32" customHeight="1">
      <c r="B32" s="61" t="inlineStr">
        <is>
          <t>S4  ·  Would you take a smaller portion if you could ask for one easily?</t>
        </is>
      </c>
    </row>
    <row r="33">
      <c r="B33" s="62" t="inlineStr">
        <is>
          <t>Answer</t>
        </is>
      </c>
      <c r="E33" s="14" t="inlineStr">
        <is>
          <t>People</t>
        </is>
      </c>
      <c r="F33" s="14" t="inlineStr">
        <is>
          <t>Share</t>
        </is>
      </c>
      <c r="G33" s="14" t="inlineStr"/>
    </row>
    <row r="34">
      <c r="B34" s="63" t="inlineStr">
        <is>
          <t>Yes</t>
        </is>
      </c>
      <c r="C34" s="64" t="n"/>
      <c r="D34" s="64" t="n"/>
      <c r="E34" s="65">
        <f>COUNTIF('Students_Data'!$E$2:$E$1000,B34)</f>
        <v/>
      </c>
      <c r="F34" s="66">
        <f>IFERROR(E34/SUM($E$34:$E$36),0)</f>
        <v/>
      </c>
      <c r="G34" s="67">
        <f>F34</f>
        <v/>
      </c>
      <c r="H34" s="64" t="n"/>
    </row>
    <row r="35">
      <c r="B35" s="68" t="inlineStr">
        <is>
          <t>Maybe</t>
        </is>
      </c>
      <c r="C35" s="69" t="n"/>
      <c r="D35" s="69" t="n"/>
      <c r="E35" s="70">
        <f>COUNTIF('Students_Data'!$E$2:$E$1000,B35)</f>
        <v/>
      </c>
      <c r="F35" s="71">
        <f>IFERROR(E35/SUM($E$34:$E$36),0)</f>
        <v/>
      </c>
      <c r="G35" s="72">
        <f>F35</f>
        <v/>
      </c>
      <c r="H35" s="69" t="n"/>
    </row>
    <row r="36">
      <c r="B36" s="63" t="inlineStr">
        <is>
          <t>No</t>
        </is>
      </c>
      <c r="C36" s="64" t="n"/>
      <c r="D36" s="64" t="n"/>
      <c r="E36" s="65">
        <f>COUNTIF('Students_Data'!$E$2:$E$1000,B36)</f>
        <v/>
      </c>
      <c r="F36" s="66">
        <f>IFERROR(E36/SUM($E$34:$E$36),0)</f>
        <v/>
      </c>
      <c r="G36" s="67">
        <f>F36</f>
        <v/>
      </c>
      <c r="H36" s="64" t="n"/>
    </row>
    <row r="39" ht="22" customHeight="1">
      <c r="B39" s="61" t="inlineStr">
        <is>
          <t>S5  ·  Are you told to finish everything on your plate?</t>
        </is>
      </c>
    </row>
    <row r="40">
      <c r="B40" s="62" t="inlineStr">
        <is>
          <t>Answer</t>
        </is>
      </c>
      <c r="E40" s="14" t="inlineStr">
        <is>
          <t>People</t>
        </is>
      </c>
      <c r="F40" s="14" t="inlineStr">
        <is>
          <t>Share</t>
        </is>
      </c>
      <c r="G40" s="14" t="inlineStr"/>
    </row>
    <row r="41">
      <c r="B41" s="63" t="inlineStr">
        <is>
          <t>Yes</t>
        </is>
      </c>
      <c r="C41" s="64" t="n"/>
      <c r="D41" s="64" t="n"/>
      <c r="E41" s="65">
        <f>COUNTIF('Students_Data'!$F$2:$F$1000,B41)</f>
        <v/>
      </c>
      <c r="F41" s="66">
        <f>IFERROR(E41/SUM($E$41:$E$43),0)</f>
        <v/>
      </c>
      <c r="G41" s="67">
        <f>F41</f>
        <v/>
      </c>
      <c r="H41" s="64" t="n"/>
    </row>
    <row r="42">
      <c r="B42" s="68" t="inlineStr">
        <is>
          <t>Sometimes</t>
        </is>
      </c>
      <c r="C42" s="69" t="n"/>
      <c r="D42" s="69" t="n"/>
      <c r="E42" s="70">
        <f>COUNTIF('Students_Data'!$F$2:$F$1000,B42)</f>
        <v/>
      </c>
      <c r="F42" s="71">
        <f>IFERROR(E42/SUM($E$41:$E$43),0)</f>
        <v/>
      </c>
      <c r="G42" s="72">
        <f>F42</f>
        <v/>
      </c>
      <c r="H42" s="69" t="n"/>
    </row>
    <row r="43">
      <c r="B43" s="63" t="inlineStr">
        <is>
          <t>No</t>
        </is>
      </c>
      <c r="C43" s="64" t="n"/>
      <c r="D43" s="64" t="n"/>
      <c r="E43" s="65">
        <f>COUNTIF('Students_Data'!$F$2:$F$1000,B43)</f>
        <v/>
      </c>
      <c r="F43" s="66">
        <f>IFERROR(E43/SUM($E$41:$E$43),0)</f>
        <v/>
      </c>
      <c r="G43" s="67">
        <f>F43</f>
        <v/>
      </c>
      <c r="H43" s="64" t="n"/>
    </row>
    <row r="46" ht="22" customHeight="1">
      <c r="B46" s="61" t="inlineStr">
        <is>
          <t>S7  ·  Which would you rather see about your lunch?</t>
        </is>
      </c>
    </row>
    <row r="47">
      <c r="B47" s="62" t="inlineStr">
        <is>
          <t>Answer</t>
        </is>
      </c>
      <c r="E47" s="14" t="inlineStr">
        <is>
          <t>People</t>
        </is>
      </c>
      <c r="F47" s="14" t="inlineStr">
        <is>
          <t>Share</t>
        </is>
      </c>
      <c r="G47" s="14" t="inlineStr"/>
    </row>
    <row r="48">
      <c r="B48" s="63" t="inlineStr">
        <is>
          <t>Food groups</t>
        </is>
      </c>
      <c r="C48" s="64" t="n"/>
      <c r="D48" s="64" t="n"/>
      <c r="E48" s="65">
        <f>COUNTIF('Students_Data'!$H$2:$H$1000,B48)</f>
        <v/>
      </c>
      <c r="F48" s="66">
        <f>IFERROR(E48/SUM($E$48:$E$51),0)</f>
        <v/>
      </c>
      <c r="G48" s="67">
        <f>F48</f>
        <v/>
      </c>
      <c r="H48" s="64" t="n"/>
    </row>
    <row r="49">
      <c r="B49" s="68" t="inlineStr">
        <is>
          <t>Calories</t>
        </is>
      </c>
      <c r="C49" s="69" t="n"/>
      <c r="D49" s="69" t="n"/>
      <c r="E49" s="70">
        <f>COUNTIF('Students_Data'!$H$2:$H$1000,B49)</f>
        <v/>
      </c>
      <c r="F49" s="71">
        <f>IFERROR(E49/SUM($E$48:$E$51),0)</f>
        <v/>
      </c>
      <c r="G49" s="72">
        <f>F49</f>
        <v/>
      </c>
      <c r="H49" s="69" t="n"/>
    </row>
    <row r="50">
      <c r="B50" s="63" t="inlineStr">
        <is>
          <t>Both</t>
        </is>
      </c>
      <c r="C50" s="64" t="n"/>
      <c r="D50" s="64" t="n"/>
      <c r="E50" s="65">
        <f>COUNTIF('Students_Data'!$H$2:$H$1000,B50)</f>
        <v/>
      </c>
      <c r="F50" s="66">
        <f>IFERROR(E50/SUM($E$48:$E$51),0)</f>
        <v/>
      </c>
      <c r="G50" s="67">
        <f>F50</f>
        <v/>
      </c>
      <c r="H50" s="64" t="n"/>
    </row>
    <row r="51">
      <c r="B51" s="68" t="inlineStr">
        <is>
          <t>Neither</t>
        </is>
      </c>
      <c r="C51" s="69" t="n"/>
      <c r="D51" s="69" t="n"/>
      <c r="E51" s="70">
        <f>COUNTIF('Students_Data'!$H$2:$H$1000,B51)</f>
        <v/>
      </c>
      <c r="F51" s="71">
        <f>IFERROR(E51/SUM($E$48:$E$51),0)</f>
        <v/>
      </c>
      <c r="G51" s="72">
        <f>F51</f>
        <v/>
      </c>
      <c r="H51" s="69" t="n"/>
    </row>
    <row r="54" ht="22" customHeight="1">
      <c r="B54" s="61" t="inlineStr">
        <is>
          <t>Scale questions  ·  1 = disagree / not useful, 5 = agree / very useful</t>
        </is>
      </c>
    </row>
    <row r="55">
      <c r="B55" s="62" t="inlineStr">
        <is>
          <t>Statement</t>
        </is>
      </c>
      <c r="F55" s="14" t="inlineStr">
        <is>
          <t>Average</t>
        </is>
      </c>
      <c r="G55" s="14" t="inlineStr">
        <is>
          <t>Agree (4–5)</t>
        </is>
      </c>
      <c r="H55" s="14" t="inlineStr"/>
    </row>
    <row r="56" ht="30" customHeight="1">
      <c r="B56" s="73" t="inlineStr">
        <is>
          <t>S6  I would like to see what I ate at lunch (food groups and nutrients).</t>
        </is>
      </c>
      <c r="C56" s="64" t="n"/>
      <c r="D56" s="64" t="n"/>
      <c r="E56" s="64" t="n"/>
      <c r="F56" s="74">
        <f>IFERROR(AVERAGE('Students_Data'!$G$2:$G$1000),0)</f>
        <v/>
      </c>
      <c r="G56" s="66">
        <f>IFERROR(COUNTIF('Students_Data'!$G$2:$G$1000,"&gt;=4")/COUNT('Students_Data'!$G$2:$G$1000),0)</f>
        <v/>
      </c>
      <c r="H56" s="75">
        <f>G56</f>
        <v/>
      </c>
    </row>
    <row r="57" ht="30" customHeight="1">
      <c r="B57" s="73" t="inlineStr">
        <is>
          <t>S8  I would scan my tray before and after lunch if it fed a virtual pet.</t>
        </is>
      </c>
      <c r="C57" s="64" t="n"/>
      <c r="D57" s="64" t="n"/>
      <c r="E57" s="64" t="n"/>
      <c r="F57" s="74">
        <f>IFERROR(AVERAGE('Students_Data'!$I$2:$I$1000),0)</f>
        <v/>
      </c>
      <c r="G57" s="66">
        <f>IFERROR(COUNTIF('Students_Data'!$I$2:$I$1000,"&gt;=4")/COUNT('Students_Data'!$I$2:$I$1000),0)</f>
        <v/>
      </c>
      <c r="H57" s="75">
        <f>G57</f>
        <v/>
      </c>
    </row>
    <row r="58" ht="30" customHeight="1">
      <c r="B58" s="73" t="inlineStr">
        <is>
          <t>S9  A weekly class competition on food waste would motivate me.</t>
        </is>
      </c>
      <c r="C58" s="64" t="n"/>
      <c r="D58" s="64" t="n"/>
      <c r="E58" s="64" t="n"/>
      <c r="F58" s="74">
        <f>IFERROR(AVERAGE('Students_Data'!$J$2:$J$1000),0)</f>
        <v/>
      </c>
      <c r="G58" s="66">
        <f>IFERROR(COUNTIF('Students_Data'!$J$2:$J$1000,"&gt;=4")/COUNT('Students_Data'!$J$2:$J$1000),0)</f>
        <v/>
      </c>
      <c r="H58" s="75">
        <f>G58</f>
        <v/>
      </c>
    </row>
    <row r="59" ht="30" customHeight="1">
      <c r="B59" s="73" t="inlineStr">
        <is>
          <t>S10  I would be comfortable signing in to a scanner with my face.</t>
        </is>
      </c>
      <c r="C59" s="64" t="n"/>
      <c r="D59" s="64" t="n"/>
      <c r="E59" s="64" t="n"/>
      <c r="F59" s="74">
        <f>IFERROR(AVERAGE('Students_Data'!$K$2:$K$1000),0)</f>
        <v/>
      </c>
      <c r="G59" s="66">
        <f>IFERROR(COUNTIF('Students_Data'!$K$2:$K$1000,"&gt;=4")/COUNT('Students_Data'!$K$2:$K$1000),0)</f>
        <v/>
      </c>
      <c r="H59" s="75">
        <f>G59</f>
        <v/>
      </c>
    </row>
  </sheetData>
  <mergeCells count="77">
    <mergeCell ref="B11:D11"/>
    <mergeCell ref="B42:D42"/>
    <mergeCell ref="B34:D34"/>
    <mergeCell ref="B28:D28"/>
    <mergeCell ref="B32:H32"/>
    <mergeCell ref="G18:H18"/>
    <mergeCell ref="B20:D20"/>
    <mergeCell ref="G34:H34"/>
    <mergeCell ref="H5:J5"/>
    <mergeCell ref="B4:D4"/>
    <mergeCell ref="G20:H20"/>
    <mergeCell ref="K5:M5"/>
    <mergeCell ref="B43:D43"/>
    <mergeCell ref="B17:D17"/>
    <mergeCell ref="G48:H48"/>
    <mergeCell ref="B10:D10"/>
    <mergeCell ref="B19:D19"/>
    <mergeCell ref="B9:D9"/>
    <mergeCell ref="B54:H54"/>
    <mergeCell ref="G49:H49"/>
    <mergeCell ref="B36:D36"/>
    <mergeCell ref="B5:D5"/>
    <mergeCell ref="G24:H24"/>
    <mergeCell ref="K4:M4"/>
    <mergeCell ref="G33:H33"/>
    <mergeCell ref="G26:H26"/>
    <mergeCell ref="B47:D47"/>
    <mergeCell ref="G35:H35"/>
    <mergeCell ref="B8:H8"/>
    <mergeCell ref="G16:H16"/>
    <mergeCell ref="G25:H25"/>
    <mergeCell ref="H4:J4"/>
    <mergeCell ref="G9:H9"/>
    <mergeCell ref="B48:D48"/>
    <mergeCell ref="G11:H11"/>
    <mergeCell ref="G42:H42"/>
    <mergeCell ref="B55:E55"/>
    <mergeCell ref="B49:D49"/>
    <mergeCell ref="B51:D51"/>
    <mergeCell ref="B46:H46"/>
    <mergeCell ref="B56:E56"/>
    <mergeCell ref="B41:D41"/>
    <mergeCell ref="G15:H15"/>
    <mergeCell ref="B58:E58"/>
    <mergeCell ref="B35:D35"/>
    <mergeCell ref="B50:D50"/>
    <mergeCell ref="B39:H39"/>
    <mergeCell ref="B25:D25"/>
    <mergeCell ref="B23:H23"/>
    <mergeCell ref="G51:H51"/>
    <mergeCell ref="B57:E57"/>
    <mergeCell ref="G41:H41"/>
    <mergeCell ref="G50:H50"/>
    <mergeCell ref="E4:G4"/>
    <mergeCell ref="G43:H43"/>
    <mergeCell ref="G27:H27"/>
    <mergeCell ref="G36:H36"/>
    <mergeCell ref="B29:D29"/>
    <mergeCell ref="G17:H17"/>
    <mergeCell ref="G10:H10"/>
    <mergeCell ref="G19:H19"/>
    <mergeCell ref="B40:D40"/>
    <mergeCell ref="G28:H28"/>
    <mergeCell ref="B59:E59"/>
    <mergeCell ref="B15:D15"/>
    <mergeCell ref="B24:D24"/>
    <mergeCell ref="B33:D33"/>
    <mergeCell ref="B1:O1"/>
    <mergeCell ref="B26:D26"/>
    <mergeCell ref="B16:D16"/>
    <mergeCell ref="G29:H29"/>
    <mergeCell ref="B14:H14"/>
    <mergeCell ref="G47:H47"/>
    <mergeCell ref="E5:G5"/>
    <mergeCell ref="B18:D18"/>
    <mergeCell ref="B27:D27"/>
    <mergeCell ref="G40:H40"/>
  </mergeCells>
  <conditionalFormatting sqref="G10:G11">
    <cfRule type="dataBar" priority="1">
      <dataBar showValue="0">
        <cfvo type="num" val="0"/>
        <cfvo type="num" val="1"/>
        <color rgb="001E7A44"/>
      </dataBar>
    </cfRule>
  </conditionalFormatting>
  <conditionalFormatting sqref="G16:G20">
    <cfRule type="dataBar" priority="2">
      <dataBar showValue="0">
        <cfvo type="num" val="0"/>
        <cfvo type="num" val="1"/>
        <color rgb="001E7A44"/>
      </dataBar>
    </cfRule>
  </conditionalFormatting>
  <conditionalFormatting sqref="G25:G29">
    <cfRule type="dataBar" priority="3">
      <dataBar showValue="0">
        <cfvo type="num" val="0"/>
        <cfvo type="num" val="1"/>
        <color rgb="001E7A44"/>
      </dataBar>
    </cfRule>
  </conditionalFormatting>
  <conditionalFormatting sqref="G34:G36">
    <cfRule type="dataBar" priority="4">
      <dataBar showValue="0">
        <cfvo type="num" val="0"/>
        <cfvo type="num" val="1"/>
        <color rgb="001E7A44"/>
      </dataBar>
    </cfRule>
  </conditionalFormatting>
  <conditionalFormatting sqref="G41:G43">
    <cfRule type="dataBar" priority="5">
      <dataBar showValue="0">
        <cfvo type="num" val="0"/>
        <cfvo type="num" val="1"/>
        <color rgb="001E7A44"/>
      </dataBar>
    </cfRule>
  </conditionalFormatting>
  <conditionalFormatting sqref="G48:G51">
    <cfRule type="dataBar" priority="6">
      <dataBar showValue="0">
        <cfvo type="num" val="0"/>
        <cfvo type="num" val="1"/>
        <color rgb="001E7A44"/>
      </dataBar>
    </cfRule>
  </conditionalFormatting>
  <conditionalFormatting sqref="H56:H59">
    <cfRule type="dataBar" priority="7">
      <dataBar showValue="0">
        <cfvo type="num" val="0"/>
        <cfvo type="num" val="1"/>
        <color rgb="001E7A44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C2671A"/>
    <outlinePr summaryBelow="1" summaryRight="1"/>
    <pageSetUpPr/>
  </sheetPr>
  <dimension ref="B1:O52"/>
  <sheetViews>
    <sheetView showGridLines="0" tabSelected="0" zoomScale="10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34" customHeight="1">
      <c r="B1" s="76" t="inlineStr">
        <is>
          <t>Kitchen staff</t>
        </is>
      </c>
    </row>
    <row r="2">
      <c r="B2" s="60">
        <f>COUNTA('Kitchen_Data'!$A$2:$A$1000)&amp;" responses · illustrative data · PlateLoop answer: Kitchen dashboard"</f>
        <v/>
      </c>
    </row>
    <row r="4" ht="44" customHeight="1">
      <c r="B4" s="28">
        <f>'Kitchen'!$F$17+'Kitchen'!$F$18</f>
        <v/>
      </c>
      <c r="C4" s="29" t="n"/>
      <c r="D4" s="29" t="n"/>
      <c r="E4" s="28">
        <f>'Kitchen'!$F$29</f>
        <v/>
      </c>
      <c r="F4" s="29" t="n"/>
      <c r="G4" s="29" t="n"/>
      <c r="H4" s="28">
        <f>'Kitchen'!$B$24/100</f>
        <v/>
      </c>
      <c r="I4" s="29" t="n"/>
      <c r="J4" s="29" t="n"/>
      <c r="K4" s="28">
        <f>'Kitchen'!$G$50</f>
        <v/>
      </c>
      <c r="L4" s="29" t="n"/>
      <c r="M4" s="29" t="n"/>
    </row>
    <row r="5" ht="30" customHeight="1">
      <c r="B5" s="30" t="inlineStr">
        <is>
          <t>plan by experience or headcount</t>
        </is>
      </c>
      <c r="C5" s="29" t="n"/>
      <c r="D5" s="29" t="n"/>
      <c r="E5" s="30" t="inlineStr">
        <is>
          <t>know which dishes come back</t>
        </is>
      </c>
      <c r="F5" s="29" t="n"/>
      <c r="G5" s="29" t="n"/>
      <c r="H5" s="30" t="inlineStr">
        <is>
          <t>of cooked food thrown away (estimate)</t>
        </is>
      </c>
      <c r="I5" s="29" t="n"/>
      <c r="J5" s="29" t="n"/>
      <c r="K5" s="30" t="inlineStr">
        <is>
          <t>want waste shown by dish</t>
        </is>
      </c>
      <c r="L5" s="29" t="n"/>
      <c r="M5" s="29" t="n"/>
    </row>
    <row r="8" ht="22" customHeight="1">
      <c r="B8" s="61" t="inlineStr">
        <is>
          <t>K1  ·  What is your role?</t>
        </is>
      </c>
    </row>
    <row r="9">
      <c r="B9" s="77" t="inlineStr">
        <is>
          <t>Answer</t>
        </is>
      </c>
      <c r="E9" s="15" t="inlineStr">
        <is>
          <t>People</t>
        </is>
      </c>
      <c r="F9" s="15" t="inlineStr">
        <is>
          <t>Share</t>
        </is>
      </c>
      <c r="G9" s="15" t="inlineStr"/>
    </row>
    <row r="10">
      <c r="B10" s="63" t="inlineStr">
        <is>
          <t>Canteen operator</t>
        </is>
      </c>
      <c r="C10" s="64" t="n"/>
      <c r="D10" s="64" t="n"/>
      <c r="E10" s="65">
        <f>COUNTIF('Kitchen_Data'!$B$2:$B$1000,B10)</f>
        <v/>
      </c>
      <c r="F10" s="78">
        <f>IFERROR(E10/SUM($E$10:$E$12),0)</f>
        <v/>
      </c>
      <c r="G10" s="67">
        <f>F10</f>
        <v/>
      </c>
      <c r="H10" s="64" t="n"/>
    </row>
    <row r="11">
      <c r="B11" s="68" t="inlineStr">
        <is>
          <t>Cook</t>
        </is>
      </c>
      <c r="C11" s="69" t="n"/>
      <c r="D11" s="69" t="n"/>
      <c r="E11" s="70">
        <f>COUNTIF('Kitchen_Data'!$B$2:$B$1000,B11)</f>
        <v/>
      </c>
      <c r="F11" s="79">
        <f>IFERROR(E11/SUM($E$10:$E$12),0)</f>
        <v/>
      </c>
      <c r="G11" s="72">
        <f>F11</f>
        <v/>
      </c>
      <c r="H11" s="69" t="n"/>
    </row>
    <row r="12">
      <c r="B12" s="63" t="inlineStr">
        <is>
          <t>Kitchen assistant</t>
        </is>
      </c>
      <c r="C12" s="64" t="n"/>
      <c r="D12" s="64" t="n"/>
      <c r="E12" s="65">
        <f>COUNTIF('Kitchen_Data'!$B$2:$B$1000,B12)</f>
        <v/>
      </c>
      <c r="F12" s="78">
        <f>IFERROR(E12/SUM($E$10:$E$12),0)</f>
        <v/>
      </c>
      <c r="G12" s="67">
        <f>F12</f>
        <v/>
      </c>
      <c r="H12" s="64" t="n"/>
    </row>
    <row r="15" ht="22" customHeight="1">
      <c r="B15" s="61" t="inlineStr">
        <is>
          <t>K2  ·  How do you mainly decide how much to cook each day?</t>
        </is>
      </c>
    </row>
    <row r="16">
      <c r="B16" s="77" t="inlineStr">
        <is>
          <t>Answer</t>
        </is>
      </c>
      <c r="E16" s="15" t="inlineStr">
        <is>
          <t>People</t>
        </is>
      </c>
      <c r="F16" s="15" t="inlineStr">
        <is>
          <t>Share</t>
        </is>
      </c>
      <c r="G16" s="15" t="inlineStr"/>
    </row>
    <row r="17">
      <c r="B17" s="63" t="inlineStr">
        <is>
          <t>Past experience</t>
        </is>
      </c>
      <c r="C17" s="64" t="n"/>
      <c r="D17" s="64" t="n"/>
      <c r="E17" s="65">
        <f>COUNTIF('Kitchen_Data'!$C$2:$C$1000,B17)</f>
        <v/>
      </c>
      <c r="F17" s="78">
        <f>IFERROR(E17/SUM($E$17:$E$20),0)</f>
        <v/>
      </c>
      <c r="G17" s="67">
        <f>F17</f>
        <v/>
      </c>
      <c r="H17" s="64" t="n"/>
    </row>
    <row r="18">
      <c r="B18" s="68" t="inlineStr">
        <is>
          <t>Headcount × standard portion</t>
        </is>
      </c>
      <c r="C18" s="69" t="n"/>
      <c r="D18" s="69" t="n"/>
      <c r="E18" s="70">
        <f>COUNTIF('Kitchen_Data'!$C$2:$C$1000,B18)</f>
        <v/>
      </c>
      <c r="F18" s="79">
        <f>IFERROR(E18/SUM($E$17:$E$20),0)</f>
        <v/>
      </c>
      <c r="G18" s="72">
        <f>F18</f>
        <v/>
      </c>
      <c r="H18" s="69" t="n"/>
    </row>
    <row r="19">
      <c r="B19" s="63" t="inlineStr">
        <is>
          <t>Previous day’s leftovers</t>
        </is>
      </c>
      <c r="C19" s="64" t="n"/>
      <c r="D19" s="64" t="n"/>
      <c r="E19" s="65">
        <f>COUNTIF('Kitchen_Data'!$C$2:$C$1000,B19)</f>
        <v/>
      </c>
      <c r="F19" s="78">
        <f>IFERROR(E19/SUM($E$17:$E$20),0)</f>
        <v/>
      </c>
      <c r="G19" s="67">
        <f>F19</f>
        <v/>
      </c>
      <c r="H19" s="64" t="n"/>
    </row>
    <row r="20">
      <c r="B20" s="68" t="inlineStr">
        <is>
          <t>Written records</t>
        </is>
      </c>
      <c r="C20" s="69" t="n"/>
      <c r="D20" s="69" t="n"/>
      <c r="E20" s="70">
        <f>COUNTIF('Kitchen_Data'!$C$2:$C$1000,B20)</f>
        <v/>
      </c>
      <c r="F20" s="79">
        <f>IFERROR(E20/SUM($E$17:$E$20),0)</f>
        <v/>
      </c>
      <c r="G20" s="72">
        <f>F20</f>
        <v/>
      </c>
      <c r="H20" s="69" t="n"/>
    </row>
    <row r="23" ht="32" customHeight="1">
      <c r="B23" s="61" t="inlineStr">
        <is>
          <t>K3  ·  Roughly what percentage of the food you cook is thrown away on a typical day?</t>
        </is>
      </c>
    </row>
    <row r="24" ht="30" customHeight="1">
      <c r="B24" s="80">
        <f>IFERROR(AVERAGE('Kitchen_Data'!$D$2:$D$1000),0)</f>
        <v/>
      </c>
      <c r="C24" s="29" t="n"/>
      <c r="D24" s="80">
        <f>IFERROR(MEDIAN('Kitchen_Data'!$D$2:$D$1000),0)</f>
        <v/>
      </c>
      <c r="E24" s="29" t="n"/>
      <c r="F24" s="80">
        <f>IFERROR(MIN('Kitchen_Data'!$D$2:$D$1000),0)</f>
        <v/>
      </c>
      <c r="G24" s="29" t="n"/>
      <c r="H24" s="80">
        <f>IFERROR(MAX('Kitchen_Data'!$D$2:$D$1000),0)</f>
        <v/>
      </c>
      <c r="I24" s="29" t="n"/>
    </row>
    <row r="25">
      <c r="B25" s="30" t="inlineStr">
        <is>
          <t>Average</t>
        </is>
      </c>
      <c r="C25" s="29" t="n"/>
      <c r="D25" s="30" t="inlineStr">
        <is>
          <t>Median</t>
        </is>
      </c>
      <c r="E25" s="29" t="n"/>
      <c r="F25" s="30" t="inlineStr">
        <is>
          <t>Lowest</t>
        </is>
      </c>
      <c r="G25" s="29" t="n"/>
      <c r="H25" s="30" t="inlineStr">
        <is>
          <t>Highest</t>
        </is>
      </c>
      <c r="I25" s="29" t="n"/>
    </row>
    <row r="27" ht="22" customHeight="1">
      <c r="B27" s="61" t="inlineStr">
        <is>
          <t>K4  ·  Do you know which dishes come back on trays most?</t>
        </is>
      </c>
    </row>
    <row r="28">
      <c r="B28" s="77" t="inlineStr">
        <is>
          <t>Answer</t>
        </is>
      </c>
      <c r="E28" s="15" t="inlineStr">
        <is>
          <t>People</t>
        </is>
      </c>
      <c r="F28" s="15" t="inlineStr">
        <is>
          <t>Share</t>
        </is>
      </c>
      <c r="G28" s="15" t="inlineStr"/>
    </row>
    <row r="29">
      <c r="B29" s="63" t="inlineStr">
        <is>
          <t>Yes, accurately</t>
        </is>
      </c>
      <c r="C29" s="64" t="n"/>
      <c r="D29" s="64" t="n"/>
      <c r="E29" s="65">
        <f>COUNTIF('Kitchen_Data'!$E$2:$E$1000,B29)</f>
        <v/>
      </c>
      <c r="F29" s="78">
        <f>IFERROR(E29/SUM($E$29:$E$31),0)</f>
        <v/>
      </c>
      <c r="G29" s="67">
        <f>F29</f>
        <v/>
      </c>
      <c r="H29" s="64" t="n"/>
    </row>
    <row r="30">
      <c r="B30" s="68" t="inlineStr">
        <is>
          <t>Roughly</t>
        </is>
      </c>
      <c r="C30" s="69" t="n"/>
      <c r="D30" s="69" t="n"/>
      <c r="E30" s="70">
        <f>COUNTIF('Kitchen_Data'!$E$2:$E$1000,B30)</f>
        <v/>
      </c>
      <c r="F30" s="79">
        <f>IFERROR(E30/SUM($E$29:$E$31),0)</f>
        <v/>
      </c>
      <c r="G30" s="72">
        <f>F30</f>
        <v/>
      </c>
      <c r="H30" s="69" t="n"/>
    </row>
    <row r="31">
      <c r="B31" s="63" t="inlineStr">
        <is>
          <t>No</t>
        </is>
      </c>
      <c r="C31" s="64" t="n"/>
      <c r="D31" s="64" t="n"/>
      <c r="E31" s="65">
        <f>COUNTIF('Kitchen_Data'!$E$2:$E$1000,B31)</f>
        <v/>
      </c>
      <c r="F31" s="78">
        <f>IFERROR(E31/SUM($E$29:$E$31),0)</f>
        <v/>
      </c>
      <c r="G31" s="67">
        <f>F31</f>
        <v/>
      </c>
      <c r="H31" s="64" t="n"/>
    </row>
    <row r="34" ht="22" customHeight="1">
      <c r="B34" s="61" t="inlineStr">
        <is>
          <t>K5  ·  How often do you prepare more food than is eaten?</t>
        </is>
      </c>
    </row>
    <row r="35">
      <c r="B35" s="77" t="inlineStr">
        <is>
          <t>Answer</t>
        </is>
      </c>
      <c r="E35" s="15" t="inlineStr">
        <is>
          <t>People</t>
        </is>
      </c>
      <c r="F35" s="15" t="inlineStr">
        <is>
          <t>Share</t>
        </is>
      </c>
      <c r="G35" s="15" t="inlineStr"/>
    </row>
    <row r="36">
      <c r="B36" s="63" t="inlineStr">
        <is>
          <t>Never</t>
        </is>
      </c>
      <c r="C36" s="64" t="n"/>
      <c r="D36" s="64" t="n"/>
      <c r="E36" s="65">
        <f>COUNTIF('Kitchen_Data'!$F$2:$F$1000,B36)</f>
        <v/>
      </c>
      <c r="F36" s="78">
        <f>IFERROR(E36/SUM($E$36:$E$40),0)</f>
        <v/>
      </c>
      <c r="G36" s="67">
        <f>F36</f>
        <v/>
      </c>
      <c r="H36" s="64" t="n"/>
    </row>
    <row r="37">
      <c r="B37" s="68" t="inlineStr">
        <is>
          <t>Rarely</t>
        </is>
      </c>
      <c r="C37" s="69" t="n"/>
      <c r="D37" s="69" t="n"/>
      <c r="E37" s="70">
        <f>COUNTIF('Kitchen_Data'!$F$2:$F$1000,B37)</f>
        <v/>
      </c>
      <c r="F37" s="79">
        <f>IFERROR(E37/SUM($E$36:$E$40),0)</f>
        <v/>
      </c>
      <c r="G37" s="72">
        <f>F37</f>
        <v/>
      </c>
      <c r="H37" s="69" t="n"/>
    </row>
    <row r="38">
      <c r="B38" s="63" t="inlineStr">
        <is>
          <t>Weekly</t>
        </is>
      </c>
      <c r="C38" s="64" t="n"/>
      <c r="D38" s="64" t="n"/>
      <c r="E38" s="65">
        <f>COUNTIF('Kitchen_Data'!$F$2:$F$1000,B38)</f>
        <v/>
      </c>
      <c r="F38" s="78">
        <f>IFERROR(E38/SUM($E$36:$E$40),0)</f>
        <v/>
      </c>
      <c r="G38" s="67">
        <f>F38</f>
        <v/>
      </c>
      <c r="H38" s="64" t="n"/>
    </row>
    <row r="39">
      <c r="B39" s="68" t="inlineStr">
        <is>
          <t>Several times a week</t>
        </is>
      </c>
      <c r="C39" s="69" t="n"/>
      <c r="D39" s="69" t="n"/>
      <c r="E39" s="70">
        <f>COUNTIF('Kitchen_Data'!$F$2:$F$1000,B39)</f>
        <v/>
      </c>
      <c r="F39" s="79">
        <f>IFERROR(E39/SUM($E$36:$E$40),0)</f>
        <v/>
      </c>
      <c r="G39" s="72">
        <f>F39</f>
        <v/>
      </c>
      <c r="H39" s="69" t="n"/>
    </row>
    <row r="40">
      <c r="B40" s="63" t="inlineStr">
        <is>
          <t>Daily</t>
        </is>
      </c>
      <c r="C40" s="64" t="n"/>
      <c r="D40" s="64" t="n"/>
      <c r="E40" s="65">
        <f>COUNTIF('Kitchen_Data'!$F$2:$F$1000,B40)</f>
        <v/>
      </c>
      <c r="F40" s="78">
        <f>IFERROR(E40/SUM($E$36:$E$40),0)</f>
        <v/>
      </c>
      <c r="G40" s="67">
        <f>F40</f>
        <v/>
      </c>
      <c r="H40" s="64" t="n"/>
    </row>
    <row r="43" ht="32" customHeight="1">
      <c r="B43" s="61" t="inlineStr">
        <is>
          <t>K9  ·  How many minutes a day do you spend planning orders and quantities?</t>
        </is>
      </c>
    </row>
    <row r="44" ht="30" customHeight="1">
      <c r="B44" s="80">
        <f>IFERROR(AVERAGE('Kitchen_Data'!$J$2:$J$1000),0)</f>
        <v/>
      </c>
      <c r="C44" s="29" t="n"/>
      <c r="D44" s="80">
        <f>IFERROR(MEDIAN('Kitchen_Data'!$J$2:$J$1000),0)</f>
        <v/>
      </c>
      <c r="E44" s="29" t="n"/>
      <c r="F44" s="80">
        <f>IFERROR(MIN('Kitchen_Data'!$J$2:$J$1000),0)</f>
        <v/>
      </c>
      <c r="G44" s="29" t="n"/>
      <c r="H44" s="80">
        <f>IFERROR(MAX('Kitchen_Data'!$J$2:$J$1000),0)</f>
        <v/>
      </c>
      <c r="I44" s="29" t="n"/>
    </row>
    <row r="45">
      <c r="B45" s="30" t="inlineStr">
        <is>
          <t>Average</t>
        </is>
      </c>
      <c r="C45" s="29" t="n"/>
      <c r="D45" s="30" t="inlineStr">
        <is>
          <t>Median</t>
        </is>
      </c>
      <c r="E45" s="29" t="n"/>
      <c r="F45" s="30" t="inlineStr">
        <is>
          <t>Lowest</t>
        </is>
      </c>
      <c r="G45" s="29" t="n"/>
      <c r="H45" s="30" t="inlineStr">
        <is>
          <t>Highest</t>
        </is>
      </c>
      <c r="I45" s="29" t="n"/>
    </row>
    <row r="47" ht="22" customHeight="1">
      <c r="B47" s="61" t="inlineStr">
        <is>
          <t>Scale questions  ·  1 = disagree / not useful, 5 = agree / very useful</t>
        </is>
      </c>
    </row>
    <row r="48">
      <c r="B48" s="77" t="inlineStr">
        <is>
          <t>Statement</t>
        </is>
      </c>
      <c r="F48" s="15" t="inlineStr">
        <is>
          <t>Average</t>
        </is>
      </c>
      <c r="G48" s="15" t="inlineStr">
        <is>
          <t>Agree (4–5)</t>
        </is>
      </c>
      <c r="H48" s="15" t="inlineStr"/>
    </row>
    <row r="49" ht="30" customHeight="1">
      <c r="B49" s="73" t="inlineStr">
        <is>
          <t>K6  A suggested order for tomorrow, based on what was eaten, would be useful.</t>
        </is>
      </c>
      <c r="C49" s="64" t="n"/>
      <c r="D49" s="64" t="n"/>
      <c r="E49" s="64" t="n"/>
      <c r="F49" s="74">
        <f>IFERROR(AVERAGE('Kitchen_Data'!$G$2:$G$1000),0)</f>
        <v/>
      </c>
      <c r="G49" s="78">
        <f>IFERROR(COUNTIF('Kitchen_Data'!$G$2:$G$1000,"&gt;=4")/COUNT('Kitchen_Data'!$G$2:$G$1000),0)</f>
        <v/>
      </c>
      <c r="H49" s="75">
        <f>G49</f>
        <v/>
      </c>
    </row>
    <row r="50" ht="30" customHeight="1">
      <c r="B50" s="73" t="inlineStr">
        <is>
          <t>K7  Seeing waste broken down by dish would be useful.</t>
        </is>
      </c>
      <c r="C50" s="64" t="n"/>
      <c r="D50" s="64" t="n"/>
      <c r="E50" s="64" t="n"/>
      <c r="F50" s="74">
        <f>IFERROR(AVERAGE('Kitchen_Data'!$H$2:$H$1000),0)</f>
        <v/>
      </c>
      <c r="G50" s="78">
        <f>IFERROR(COUNTIF('Kitchen_Data'!$H$2:$H$1000,"&gt;=4")/COUNT('Kitchen_Data'!$H$2:$H$1000),0)</f>
        <v/>
      </c>
      <c r="H50" s="75">
        <f>G50</f>
        <v/>
      </c>
    </row>
    <row r="51" ht="30" customHeight="1">
      <c r="B51" s="73" t="inlineStr">
        <is>
          <t>K8  A monthly carbon report would be useful.</t>
        </is>
      </c>
      <c r="C51" s="64" t="n"/>
      <c r="D51" s="64" t="n"/>
      <c r="E51" s="64" t="n"/>
      <c r="F51" s="74">
        <f>IFERROR(AVERAGE('Kitchen_Data'!$I$2:$I$1000),0)</f>
        <v/>
      </c>
      <c r="G51" s="78">
        <f>IFERROR(COUNTIF('Kitchen_Data'!$I$2:$I$1000,"&gt;=4")/COUNT('Kitchen_Data'!$I$2:$I$1000),0)</f>
        <v/>
      </c>
      <c r="H51" s="75">
        <f>G51</f>
        <v/>
      </c>
    </row>
    <row r="52" ht="30" customHeight="1">
      <c r="B52" s="73" t="inlineStr">
        <is>
          <t>K10  I am worried a new system would add to my workload.</t>
        </is>
      </c>
      <c r="C52" s="64" t="n"/>
      <c r="D52" s="64" t="n"/>
      <c r="E52" s="64" t="n"/>
      <c r="F52" s="74">
        <f>IFERROR(AVERAGE('Kitchen_Data'!$K$2:$K$1000),0)</f>
        <v/>
      </c>
      <c r="G52" s="78">
        <f>IFERROR(COUNTIF('Kitchen_Data'!$K$2:$K$1000,"&gt;=4")/COUNT('Kitchen_Data'!$K$2:$K$1000),0)</f>
        <v/>
      </c>
      <c r="H52" s="75">
        <f>G52</f>
        <v/>
      </c>
    </row>
  </sheetData>
  <mergeCells count="75">
    <mergeCell ref="B11:D11"/>
    <mergeCell ref="G12:H12"/>
    <mergeCell ref="B49:E49"/>
    <mergeCell ref="B25:C25"/>
    <mergeCell ref="G11:H11"/>
    <mergeCell ref="F25:G25"/>
    <mergeCell ref="B17:D17"/>
    <mergeCell ref="G36:H36"/>
    <mergeCell ref="B15:H15"/>
    <mergeCell ref="B39:D39"/>
    <mergeCell ref="B51:E51"/>
    <mergeCell ref="B29:D29"/>
    <mergeCell ref="G40:H40"/>
    <mergeCell ref="H44:I44"/>
    <mergeCell ref="G17:H17"/>
    <mergeCell ref="B38:D38"/>
    <mergeCell ref="G39:H39"/>
    <mergeCell ref="D45:E45"/>
    <mergeCell ref="B10:D10"/>
    <mergeCell ref="B28:D28"/>
    <mergeCell ref="H25:I25"/>
    <mergeCell ref="B19:D19"/>
    <mergeCell ref="F24:G24"/>
    <mergeCell ref="B37:D37"/>
    <mergeCell ref="D44:E44"/>
    <mergeCell ref="G38:H38"/>
    <mergeCell ref="B50:E50"/>
    <mergeCell ref="G10:H10"/>
    <mergeCell ref="G19:H19"/>
    <mergeCell ref="B9:D9"/>
    <mergeCell ref="G37:H37"/>
    <mergeCell ref="B40:D40"/>
    <mergeCell ref="G28:H28"/>
    <mergeCell ref="B30:D30"/>
    <mergeCell ref="F45:G45"/>
    <mergeCell ref="B47:H47"/>
    <mergeCell ref="G18:H18"/>
    <mergeCell ref="B20:D20"/>
    <mergeCell ref="B1:O1"/>
    <mergeCell ref="B44:C44"/>
    <mergeCell ref="B36:D36"/>
    <mergeCell ref="B5:D5"/>
    <mergeCell ref="B27:H27"/>
    <mergeCell ref="G30:H30"/>
    <mergeCell ref="K4:M4"/>
    <mergeCell ref="H45:I45"/>
    <mergeCell ref="H5:J5"/>
    <mergeCell ref="B35:D35"/>
    <mergeCell ref="B43:H43"/>
    <mergeCell ref="B48:E48"/>
    <mergeCell ref="B52:E52"/>
    <mergeCell ref="B4:D4"/>
    <mergeCell ref="B16:D16"/>
    <mergeCell ref="B23:H23"/>
    <mergeCell ref="D25:E25"/>
    <mergeCell ref="G29:H29"/>
    <mergeCell ref="B8:H8"/>
    <mergeCell ref="G20:H20"/>
    <mergeCell ref="B24:C24"/>
    <mergeCell ref="G35:H35"/>
    <mergeCell ref="D24:E24"/>
    <mergeCell ref="B31:D31"/>
    <mergeCell ref="G16:H16"/>
    <mergeCell ref="E5:G5"/>
    <mergeCell ref="H24:I24"/>
    <mergeCell ref="K5:M5"/>
    <mergeCell ref="B45:C45"/>
    <mergeCell ref="H4:J4"/>
    <mergeCell ref="B18:D18"/>
    <mergeCell ref="G31:H31"/>
    <mergeCell ref="E4:G4"/>
    <mergeCell ref="B12:D12"/>
    <mergeCell ref="G9:H9"/>
    <mergeCell ref="B34:H34"/>
    <mergeCell ref="F44:G44"/>
  </mergeCells>
  <conditionalFormatting sqref="G10:G12">
    <cfRule type="dataBar" priority="1">
      <dataBar showValue="0">
        <cfvo type="num" val="0"/>
        <cfvo type="num" val="1"/>
        <color rgb="00C2671A"/>
      </dataBar>
    </cfRule>
  </conditionalFormatting>
  <conditionalFormatting sqref="G17:G20">
    <cfRule type="dataBar" priority="2">
      <dataBar showValue="0">
        <cfvo type="num" val="0"/>
        <cfvo type="num" val="1"/>
        <color rgb="00C2671A"/>
      </dataBar>
    </cfRule>
  </conditionalFormatting>
  <conditionalFormatting sqref="G29:G31">
    <cfRule type="dataBar" priority="3">
      <dataBar showValue="0">
        <cfvo type="num" val="0"/>
        <cfvo type="num" val="1"/>
        <color rgb="00C2671A"/>
      </dataBar>
    </cfRule>
  </conditionalFormatting>
  <conditionalFormatting sqref="G36:G40">
    <cfRule type="dataBar" priority="4">
      <dataBar showValue="0">
        <cfvo type="num" val="0"/>
        <cfvo type="num" val="1"/>
        <color rgb="00C2671A"/>
      </dataBar>
    </cfRule>
  </conditionalFormatting>
  <conditionalFormatting sqref="H49:H52">
    <cfRule type="dataBar" priority="5">
      <dataBar showValue="0">
        <cfvo type="num" val="0"/>
        <cfvo type="num" val="1"/>
        <color rgb="00C2671A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2A5FB0"/>
    <outlinePr summaryBelow="1" summaryRight="1"/>
    <pageSetUpPr/>
  </sheetPr>
  <dimension ref="B1:O55"/>
  <sheetViews>
    <sheetView showGridLines="0" tabSelected="0" zoomScale="10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34" customHeight="1">
      <c r="B1" s="81" t="inlineStr">
        <is>
          <t>Hospital staff</t>
        </is>
      </c>
    </row>
    <row r="2">
      <c r="B2" s="60">
        <f>COUNTA('Hospital_Data'!$A$2:$A$1000)&amp;" responses · illustrative data · PlateLoop answer: Loopi Care"</f>
        <v/>
      </c>
    </row>
    <row r="4" ht="44" customHeight="1">
      <c r="B4" s="34">
        <f>'Hospital'!$G$53</f>
        <v/>
      </c>
      <c r="C4" s="35" t="n"/>
      <c r="D4" s="35" t="n"/>
      <c r="E4" s="36">
        <f>'Hospital'!$B$24</f>
        <v/>
      </c>
      <c r="F4" s="35" t="n"/>
      <c r="G4" s="35" t="n"/>
      <c r="H4" s="34">
        <f>'Hospital'!$F$29</f>
        <v/>
      </c>
      <c r="I4" s="35" t="n"/>
      <c r="J4" s="35" t="n"/>
      <c r="K4" s="34">
        <f>'Hospital'!$G$54</f>
        <v/>
      </c>
      <c r="L4" s="35" t="n"/>
      <c r="M4" s="35" t="n"/>
    </row>
    <row r="5" ht="30" customHeight="1">
      <c r="B5" s="37" t="inlineStr">
        <is>
          <t>trust their intake records</t>
        </is>
      </c>
      <c r="C5" s="35" t="n"/>
      <c r="D5" s="35" t="n"/>
      <c r="E5" s="37" t="inlineStr">
        <is>
          <t>minutes a shift on intake records</t>
        </is>
      </c>
      <c r="F5" s="35" t="n"/>
      <c r="G5" s="35" t="n"/>
      <c r="H5" s="37" t="inlineStr">
        <is>
          <t>poor eaters noticed the same day</t>
        </is>
      </c>
      <c r="I5" s="35" t="n"/>
      <c r="J5" s="35" t="n"/>
      <c r="K5" s="37" t="inlineStr">
        <is>
          <t>want automatic intake records</t>
        </is>
      </c>
      <c r="L5" s="35" t="n"/>
      <c r="M5" s="35" t="n"/>
    </row>
    <row r="8" ht="22" customHeight="1">
      <c r="B8" s="61" t="inlineStr">
        <is>
          <t>H1  ·  What is your role?</t>
        </is>
      </c>
    </row>
    <row r="9">
      <c r="B9" s="82" t="inlineStr">
        <is>
          <t>Answer</t>
        </is>
      </c>
      <c r="E9" s="16" t="inlineStr">
        <is>
          <t>People</t>
        </is>
      </c>
      <c r="F9" s="16" t="inlineStr">
        <is>
          <t>Share</t>
        </is>
      </c>
      <c r="G9" s="16" t="inlineStr"/>
    </row>
    <row r="10">
      <c r="B10" s="63" t="inlineStr">
        <is>
          <t>Nurse</t>
        </is>
      </c>
      <c r="C10" s="64" t="n"/>
      <c r="D10" s="64" t="n"/>
      <c r="E10" s="65">
        <f>COUNTIF('Hospital_Data'!$B$2:$B$1000,B10)</f>
        <v/>
      </c>
      <c r="F10" s="83">
        <f>IFERROR(E10/SUM($E$10:$E$12),0)</f>
        <v/>
      </c>
      <c r="G10" s="67">
        <f>F10</f>
        <v/>
      </c>
      <c r="H10" s="64" t="n"/>
    </row>
    <row r="11">
      <c r="B11" s="68" t="inlineStr">
        <is>
          <t>Dietitian</t>
        </is>
      </c>
      <c r="C11" s="69" t="n"/>
      <c r="D11" s="69" t="n"/>
      <c r="E11" s="70">
        <f>COUNTIF('Hospital_Data'!$B$2:$B$1000,B11)</f>
        <v/>
      </c>
      <c r="F11" s="84">
        <f>IFERROR(E11/SUM($E$10:$E$12),0)</f>
        <v/>
      </c>
      <c r="G11" s="72">
        <f>F11</f>
        <v/>
      </c>
      <c r="H11" s="69" t="n"/>
    </row>
    <row r="12">
      <c r="B12" s="63" t="inlineStr">
        <is>
          <t>Ward manager</t>
        </is>
      </c>
      <c r="C12" s="64" t="n"/>
      <c r="D12" s="64" t="n"/>
      <c r="E12" s="65">
        <f>COUNTIF('Hospital_Data'!$B$2:$B$1000,B12)</f>
        <v/>
      </c>
      <c r="F12" s="83">
        <f>IFERROR(E12/SUM($E$10:$E$12),0)</f>
        <v/>
      </c>
      <c r="G12" s="67">
        <f>F12</f>
        <v/>
      </c>
      <c r="H12" s="64" t="n"/>
    </row>
    <row r="15" ht="22" customHeight="1">
      <c r="B15" s="61" t="inlineStr">
        <is>
          <t>H2  ·  How is patients’ food intake mainly tracked on your ward?</t>
        </is>
      </c>
    </row>
    <row r="16">
      <c r="B16" s="82" t="inlineStr">
        <is>
          <t>Answer</t>
        </is>
      </c>
      <c r="E16" s="16" t="inlineStr">
        <is>
          <t>People</t>
        </is>
      </c>
      <c r="F16" s="16" t="inlineStr">
        <is>
          <t>Share</t>
        </is>
      </c>
      <c r="G16" s="16" t="inlineStr"/>
    </row>
    <row r="17">
      <c r="B17" s="63" t="inlineStr">
        <is>
          <t>Food charts</t>
        </is>
      </c>
      <c r="C17" s="64" t="n"/>
      <c r="D17" s="64" t="n"/>
      <c r="E17" s="65">
        <f>COUNTIF('Hospital_Data'!$C$2:$C$1000,B17)</f>
        <v/>
      </c>
      <c r="F17" s="83">
        <f>IFERROR(E17/SUM($E$17:$E$20),0)</f>
        <v/>
      </c>
      <c r="G17" s="67">
        <f>F17</f>
        <v/>
      </c>
      <c r="H17" s="64" t="n"/>
    </row>
    <row r="18">
      <c r="B18" s="68" t="inlineStr">
        <is>
          <t>Visual estimate</t>
        </is>
      </c>
      <c r="C18" s="69" t="n"/>
      <c r="D18" s="69" t="n"/>
      <c r="E18" s="70">
        <f>COUNTIF('Hospital_Data'!$C$2:$C$1000,B18)</f>
        <v/>
      </c>
      <c r="F18" s="84">
        <f>IFERROR(E18/SUM($E$17:$E$20),0)</f>
        <v/>
      </c>
      <c r="G18" s="72">
        <f>F18</f>
        <v/>
      </c>
      <c r="H18" s="69" t="n"/>
    </row>
    <row r="19">
      <c r="B19" s="63" t="inlineStr">
        <is>
          <t>Patient report</t>
        </is>
      </c>
      <c r="C19" s="64" t="n"/>
      <c r="D19" s="64" t="n"/>
      <c r="E19" s="65">
        <f>COUNTIF('Hospital_Data'!$C$2:$C$1000,B19)</f>
        <v/>
      </c>
      <c r="F19" s="83">
        <f>IFERROR(E19/SUM($E$17:$E$20),0)</f>
        <v/>
      </c>
      <c r="G19" s="67">
        <f>F19</f>
        <v/>
      </c>
      <c r="H19" s="64" t="n"/>
    </row>
    <row r="20">
      <c r="B20" s="68" t="inlineStr">
        <is>
          <t>Not tracked</t>
        </is>
      </c>
      <c r="C20" s="69" t="n"/>
      <c r="D20" s="69" t="n"/>
      <c r="E20" s="70">
        <f>COUNTIF('Hospital_Data'!$C$2:$C$1000,B20)</f>
        <v/>
      </c>
      <c r="F20" s="84">
        <f>IFERROR(E20/SUM($E$17:$E$20),0)</f>
        <v/>
      </c>
      <c r="G20" s="72">
        <f>F20</f>
        <v/>
      </c>
      <c r="H20" s="69" t="n"/>
    </row>
    <row r="23" ht="32" customHeight="1">
      <c r="B23" s="61" t="inlineStr">
        <is>
          <t>H4  ·  How many minutes per shift do you spend documenting food intake?</t>
        </is>
      </c>
    </row>
    <row r="24" ht="30" customHeight="1">
      <c r="B24" s="85">
        <f>IFERROR(AVERAGE('Hospital_Data'!$E$2:$E$1000),0)</f>
        <v/>
      </c>
      <c r="C24" s="35" t="n"/>
      <c r="D24" s="85">
        <f>IFERROR(MEDIAN('Hospital_Data'!$E$2:$E$1000),0)</f>
        <v/>
      </c>
      <c r="E24" s="35" t="n"/>
      <c r="F24" s="85">
        <f>IFERROR(MIN('Hospital_Data'!$E$2:$E$1000),0)</f>
        <v/>
      </c>
      <c r="G24" s="35" t="n"/>
      <c r="H24" s="85">
        <f>IFERROR(MAX('Hospital_Data'!$E$2:$E$1000),0)</f>
        <v/>
      </c>
      <c r="I24" s="35" t="n"/>
    </row>
    <row r="25">
      <c r="B25" s="37" t="inlineStr">
        <is>
          <t>Average</t>
        </is>
      </c>
      <c r="C25" s="35" t="n"/>
      <c r="D25" s="37" t="inlineStr">
        <is>
          <t>Median</t>
        </is>
      </c>
      <c r="E25" s="35" t="n"/>
      <c r="F25" s="37" t="inlineStr">
        <is>
          <t>Lowest</t>
        </is>
      </c>
      <c r="G25" s="35" t="n"/>
      <c r="H25" s="37" t="inlineStr">
        <is>
          <t>Highest</t>
        </is>
      </c>
      <c r="I25" s="35" t="n"/>
    </row>
    <row r="27" ht="22" customHeight="1">
      <c r="B27" s="61" t="inlineStr">
        <is>
          <t>H5  ·  How quickly is a patient who stops eating usually noticed?</t>
        </is>
      </c>
    </row>
    <row r="28">
      <c r="B28" s="82" t="inlineStr">
        <is>
          <t>Answer</t>
        </is>
      </c>
      <c r="E28" s="16" t="inlineStr">
        <is>
          <t>People</t>
        </is>
      </c>
      <c r="F28" s="16" t="inlineStr">
        <is>
          <t>Share</t>
        </is>
      </c>
      <c r="G28" s="16" t="inlineStr"/>
    </row>
    <row r="29">
      <c r="B29" s="63" t="inlineStr">
        <is>
          <t>Same day</t>
        </is>
      </c>
      <c r="C29" s="64" t="n"/>
      <c r="D29" s="64" t="n"/>
      <c r="E29" s="65">
        <f>COUNTIF('Hospital_Data'!$F$2:$F$1000,B29)</f>
        <v/>
      </c>
      <c r="F29" s="83">
        <f>IFERROR(E29/SUM($E$29:$E$32),0)</f>
        <v/>
      </c>
      <c r="G29" s="67">
        <f>F29</f>
        <v/>
      </c>
      <c r="H29" s="64" t="n"/>
    </row>
    <row r="30">
      <c r="B30" s="68" t="inlineStr">
        <is>
          <t>After 2–3 days</t>
        </is>
      </c>
      <c r="C30" s="69" t="n"/>
      <c r="D30" s="69" t="n"/>
      <c r="E30" s="70">
        <f>COUNTIF('Hospital_Data'!$F$2:$F$1000,B30)</f>
        <v/>
      </c>
      <c r="F30" s="84">
        <f>IFERROR(E30/SUM($E$29:$E$32),0)</f>
        <v/>
      </c>
      <c r="G30" s="72">
        <f>F30</f>
        <v/>
      </c>
      <c r="H30" s="69" t="n"/>
    </row>
    <row r="31">
      <c r="B31" s="63" t="inlineStr">
        <is>
          <t>After 4+ days</t>
        </is>
      </c>
      <c r="C31" s="64" t="n"/>
      <c r="D31" s="64" t="n"/>
      <c r="E31" s="65">
        <f>COUNTIF('Hospital_Data'!$F$2:$F$1000,B31)</f>
        <v/>
      </c>
      <c r="F31" s="83">
        <f>IFERROR(E31/SUM($E$29:$E$32),0)</f>
        <v/>
      </c>
      <c r="G31" s="67">
        <f>F31</f>
        <v/>
      </c>
      <c r="H31" s="64" t="n"/>
    </row>
    <row r="32">
      <c r="B32" s="68" t="inlineStr">
        <is>
          <t>Often missed</t>
        </is>
      </c>
      <c r="C32" s="69" t="n"/>
      <c r="D32" s="69" t="n"/>
      <c r="E32" s="70">
        <f>COUNTIF('Hospital_Data'!$F$2:$F$1000,B32)</f>
        <v/>
      </c>
      <c r="F32" s="84">
        <f>IFERROR(E32/SUM($E$29:$E$32),0)</f>
        <v/>
      </c>
      <c r="G32" s="72">
        <f>F32</f>
        <v/>
      </c>
      <c r="H32" s="69" t="n"/>
    </row>
    <row r="35" ht="22" customHeight="1">
      <c r="B35" s="61" t="inlineStr">
        <is>
          <t>H6  ·  What is the most common reason patients leave food?</t>
        </is>
      </c>
    </row>
    <row r="36">
      <c r="B36" s="82" t="inlineStr">
        <is>
          <t>Answer</t>
        </is>
      </c>
      <c r="E36" s="16" t="inlineStr">
        <is>
          <t>People</t>
        </is>
      </c>
      <c r="F36" s="16" t="inlineStr">
        <is>
          <t>Share</t>
        </is>
      </c>
      <c r="G36" s="16" t="inlineStr"/>
    </row>
    <row r="37">
      <c r="B37" s="63" t="inlineStr">
        <is>
          <t>Poor appetite</t>
        </is>
      </c>
      <c r="C37" s="64" t="n"/>
      <c r="D37" s="64" t="n"/>
      <c r="E37" s="65">
        <f>COUNTIF('Hospital_Data'!$G$2:$G$1000,B37)</f>
        <v/>
      </c>
      <c r="F37" s="83">
        <f>IFERROR(E37/SUM($E$37:$E$41),0)</f>
        <v/>
      </c>
      <c r="G37" s="67">
        <f>F37</f>
        <v/>
      </c>
      <c r="H37" s="64" t="n"/>
    </row>
    <row r="38">
      <c r="B38" s="68" t="inlineStr">
        <is>
          <t>Taste</t>
        </is>
      </c>
      <c r="C38" s="69" t="n"/>
      <c r="D38" s="69" t="n"/>
      <c r="E38" s="70">
        <f>COUNTIF('Hospital_Data'!$G$2:$G$1000,B38)</f>
        <v/>
      </c>
      <c r="F38" s="84">
        <f>IFERROR(E38/SUM($E$37:$E$41),0)</f>
        <v/>
      </c>
      <c r="G38" s="72">
        <f>F38</f>
        <v/>
      </c>
      <c r="H38" s="69" t="n"/>
    </row>
    <row r="39">
      <c r="B39" s="63" t="inlineStr">
        <is>
          <t>Portion too big</t>
        </is>
      </c>
      <c r="C39" s="64" t="n"/>
      <c r="D39" s="64" t="n"/>
      <c r="E39" s="65">
        <f>COUNTIF('Hospital_Data'!$G$2:$G$1000,B39)</f>
        <v/>
      </c>
      <c r="F39" s="83">
        <f>IFERROR(E39/SUM($E$37:$E$41),0)</f>
        <v/>
      </c>
      <c r="G39" s="67">
        <f>F39</f>
        <v/>
      </c>
      <c r="H39" s="64" t="n"/>
    </row>
    <row r="40">
      <c r="B40" s="68" t="inlineStr">
        <is>
          <t>Too tired</t>
        </is>
      </c>
      <c r="C40" s="69" t="n"/>
      <c r="D40" s="69" t="n"/>
      <c r="E40" s="70">
        <f>COUNTIF('Hospital_Data'!$G$2:$G$1000,B40)</f>
        <v/>
      </c>
      <c r="F40" s="84">
        <f>IFERROR(E40/SUM($E$37:$E$41),0)</f>
        <v/>
      </c>
      <c r="G40" s="72">
        <f>F40</f>
        <v/>
      </c>
      <c r="H40" s="69" t="n"/>
    </row>
    <row r="41">
      <c r="B41" s="63" t="inlineStr">
        <is>
          <t>Pain or nausea</t>
        </is>
      </c>
      <c r="C41" s="64" t="n"/>
      <c r="D41" s="64" t="n"/>
      <c r="E41" s="65">
        <f>COUNTIF('Hospital_Data'!$G$2:$G$1000,B41)</f>
        <v/>
      </c>
      <c r="F41" s="83">
        <f>IFERROR(E41/SUM($E$37:$E$41),0)</f>
        <v/>
      </c>
      <c r="G41" s="67">
        <f>F41</f>
        <v/>
      </c>
      <c r="H41" s="64" t="n"/>
    </row>
    <row r="44" ht="32" customHeight="1">
      <c r="B44" s="61" t="inlineStr">
        <is>
          <t>H9  ·  Would patients benefit from choosing their next day’s meals and portion size?</t>
        </is>
      </c>
    </row>
    <row r="45">
      <c r="B45" s="82" t="inlineStr">
        <is>
          <t>Answer</t>
        </is>
      </c>
      <c r="E45" s="16" t="inlineStr">
        <is>
          <t>People</t>
        </is>
      </c>
      <c r="F45" s="16" t="inlineStr">
        <is>
          <t>Share</t>
        </is>
      </c>
      <c r="G45" s="16" t="inlineStr"/>
    </row>
    <row r="46">
      <c r="B46" s="63" t="inlineStr">
        <is>
          <t>Yes</t>
        </is>
      </c>
      <c r="C46" s="64" t="n"/>
      <c r="D46" s="64" t="n"/>
      <c r="E46" s="65">
        <f>COUNTIF('Hospital_Data'!$J$2:$J$1000,B46)</f>
        <v/>
      </c>
      <c r="F46" s="83">
        <f>IFERROR(E46/SUM($E$46:$E$48),0)</f>
        <v/>
      </c>
      <c r="G46" s="67">
        <f>F46</f>
        <v/>
      </c>
      <c r="H46" s="64" t="n"/>
    </row>
    <row r="47">
      <c r="B47" s="68" t="inlineStr">
        <is>
          <t>Maybe</t>
        </is>
      </c>
      <c r="C47" s="69" t="n"/>
      <c r="D47" s="69" t="n"/>
      <c r="E47" s="70">
        <f>COUNTIF('Hospital_Data'!$J$2:$J$1000,B47)</f>
        <v/>
      </c>
      <c r="F47" s="84">
        <f>IFERROR(E47/SUM($E$46:$E$48),0)</f>
        <v/>
      </c>
      <c r="G47" s="72">
        <f>F47</f>
        <v/>
      </c>
      <c r="H47" s="69" t="n"/>
    </row>
    <row r="48">
      <c r="B48" s="63" t="inlineStr">
        <is>
          <t>No</t>
        </is>
      </c>
      <c r="C48" s="64" t="n"/>
      <c r="D48" s="64" t="n"/>
      <c r="E48" s="65">
        <f>COUNTIF('Hospital_Data'!$J$2:$J$1000,B48)</f>
        <v/>
      </c>
      <c r="F48" s="83">
        <f>IFERROR(E48/SUM($E$46:$E$48),0)</f>
        <v/>
      </c>
      <c r="G48" s="67">
        <f>F48</f>
        <v/>
      </c>
      <c r="H48" s="64" t="n"/>
    </row>
    <row r="51" ht="22" customHeight="1">
      <c r="B51" s="61" t="inlineStr">
        <is>
          <t>Scale questions  ·  1 = disagree / not useful, 5 = agree / very useful</t>
        </is>
      </c>
    </row>
    <row r="52">
      <c r="B52" s="82" t="inlineStr">
        <is>
          <t>Statement</t>
        </is>
      </c>
      <c r="F52" s="16" t="inlineStr">
        <is>
          <t>Average</t>
        </is>
      </c>
      <c r="G52" s="16" t="inlineStr">
        <is>
          <t>Agree (4–5)</t>
        </is>
      </c>
      <c r="H52" s="16" t="inlineStr"/>
    </row>
    <row r="53" ht="30" customHeight="1">
      <c r="B53" s="73" t="inlineStr">
        <is>
          <t>H3  I am confident our intake records are accurate.</t>
        </is>
      </c>
      <c r="C53" s="64" t="n"/>
      <c r="D53" s="64" t="n"/>
      <c r="E53" s="64" t="n"/>
      <c r="F53" s="74">
        <f>IFERROR(AVERAGE('Hospital_Data'!$D$2:$D$1000),0)</f>
        <v/>
      </c>
      <c r="G53" s="83">
        <f>IFERROR(COUNTIF('Hospital_Data'!$D$2:$D$1000,"&gt;=4")/COUNT('Hospital_Data'!$D$2:$D$1000),0)</f>
        <v/>
      </c>
      <c r="H53" s="75">
        <f>G53</f>
        <v/>
      </c>
    </row>
    <row r="54" ht="30" customHeight="1">
      <c r="B54" s="73" t="inlineStr">
        <is>
          <t>H7  Automatic intake records for every tray would be useful.</t>
        </is>
      </c>
      <c r="C54" s="64" t="n"/>
      <c r="D54" s="64" t="n"/>
      <c r="E54" s="64" t="n"/>
      <c r="F54" s="74">
        <f>IFERROR(AVERAGE('Hospital_Data'!$H$2:$H$1000),0)</f>
        <v/>
      </c>
      <c r="G54" s="83">
        <f>IFERROR(COUNTIF('Hospital_Data'!$H$2:$H$1000,"&gt;=4")/COUNT('Hospital_Data'!$H$2:$H$1000),0)</f>
        <v/>
      </c>
      <c r="H54" s="75">
        <f>G54</f>
        <v/>
      </c>
    </row>
    <row r="55" ht="30" customHeight="1">
      <c r="B55" s="73" t="inlineStr">
        <is>
          <t>H8  An alert that includes the patient’s reason for not eating would be useful.</t>
        </is>
      </c>
      <c r="C55" s="64" t="n"/>
      <c r="D55" s="64" t="n"/>
      <c r="E55" s="64" t="n"/>
      <c r="F55" s="74">
        <f>IFERROR(AVERAGE('Hospital_Data'!$I$2:$I$1000),0)</f>
        <v/>
      </c>
      <c r="G55" s="83">
        <f>IFERROR(COUNTIF('Hospital_Data'!$I$2:$I$1000,"&gt;=4")/COUNT('Hospital_Data'!$I$2:$I$1000),0)</f>
        <v/>
      </c>
      <c r="H55" s="75">
        <f>G55</f>
        <v/>
      </c>
    </row>
  </sheetData>
  <mergeCells count="76">
    <mergeCell ref="B11:D11"/>
    <mergeCell ref="G12:H12"/>
    <mergeCell ref="B25:C25"/>
    <mergeCell ref="G11:H11"/>
    <mergeCell ref="F25:G25"/>
    <mergeCell ref="B17:D17"/>
    <mergeCell ref="G36:H36"/>
    <mergeCell ref="B55:E55"/>
    <mergeCell ref="B15:H15"/>
    <mergeCell ref="B39:D39"/>
    <mergeCell ref="B29:D29"/>
    <mergeCell ref="G40:H40"/>
    <mergeCell ref="B51:H51"/>
    <mergeCell ref="G48:H48"/>
    <mergeCell ref="G17:H17"/>
    <mergeCell ref="B38:D38"/>
    <mergeCell ref="G39:H39"/>
    <mergeCell ref="B10:D10"/>
    <mergeCell ref="B28:D28"/>
    <mergeCell ref="H25:I25"/>
    <mergeCell ref="B19:D19"/>
    <mergeCell ref="F24:G24"/>
    <mergeCell ref="B37:D37"/>
    <mergeCell ref="G38:H38"/>
    <mergeCell ref="B35:H35"/>
    <mergeCell ref="G10:H10"/>
    <mergeCell ref="B54:E54"/>
    <mergeCell ref="G19:H19"/>
    <mergeCell ref="B9:D9"/>
    <mergeCell ref="G37:H37"/>
    <mergeCell ref="B40:D40"/>
    <mergeCell ref="G28:H28"/>
    <mergeCell ref="B30:D30"/>
    <mergeCell ref="G18:H18"/>
    <mergeCell ref="B20:D20"/>
    <mergeCell ref="B1:O1"/>
    <mergeCell ref="B36:D36"/>
    <mergeCell ref="B5:D5"/>
    <mergeCell ref="B27:H27"/>
    <mergeCell ref="G30:H30"/>
    <mergeCell ref="B45:D45"/>
    <mergeCell ref="B41:D41"/>
    <mergeCell ref="K4:M4"/>
    <mergeCell ref="H5:J5"/>
    <mergeCell ref="B32:D32"/>
    <mergeCell ref="B52:E52"/>
    <mergeCell ref="B4:D4"/>
    <mergeCell ref="G45:H45"/>
    <mergeCell ref="B47:D47"/>
    <mergeCell ref="B16:D16"/>
    <mergeCell ref="B23:H23"/>
    <mergeCell ref="D25:E25"/>
    <mergeCell ref="G29:H29"/>
    <mergeCell ref="B8:H8"/>
    <mergeCell ref="G20:H20"/>
    <mergeCell ref="B24:C24"/>
    <mergeCell ref="D24:E24"/>
    <mergeCell ref="B53:E53"/>
    <mergeCell ref="B31:D31"/>
    <mergeCell ref="G16:H16"/>
    <mergeCell ref="B46:D46"/>
    <mergeCell ref="H24:I24"/>
    <mergeCell ref="G32:H32"/>
    <mergeCell ref="B44:H44"/>
    <mergeCell ref="G47:H47"/>
    <mergeCell ref="G41:H41"/>
    <mergeCell ref="E5:G5"/>
    <mergeCell ref="B18:D18"/>
    <mergeCell ref="H4:J4"/>
    <mergeCell ref="K5:M5"/>
    <mergeCell ref="G31:H31"/>
    <mergeCell ref="G46:H46"/>
    <mergeCell ref="E4:G4"/>
    <mergeCell ref="B12:D12"/>
    <mergeCell ref="G9:H9"/>
    <mergeCell ref="B48:D48"/>
  </mergeCells>
  <conditionalFormatting sqref="G10:G12">
    <cfRule type="dataBar" priority="1">
      <dataBar showValue="0">
        <cfvo type="num" val="0"/>
        <cfvo type="num" val="1"/>
        <color rgb="002A5FB0"/>
      </dataBar>
    </cfRule>
  </conditionalFormatting>
  <conditionalFormatting sqref="G17:G20">
    <cfRule type="dataBar" priority="2">
      <dataBar showValue="0">
        <cfvo type="num" val="0"/>
        <cfvo type="num" val="1"/>
        <color rgb="002A5FB0"/>
      </dataBar>
    </cfRule>
  </conditionalFormatting>
  <conditionalFormatting sqref="G29:G32">
    <cfRule type="dataBar" priority="3">
      <dataBar showValue="0">
        <cfvo type="num" val="0"/>
        <cfvo type="num" val="1"/>
        <color rgb="002A5FB0"/>
      </dataBar>
    </cfRule>
  </conditionalFormatting>
  <conditionalFormatting sqref="G37:G41">
    <cfRule type="dataBar" priority="4">
      <dataBar showValue="0">
        <cfvo type="num" val="0"/>
        <cfvo type="num" val="1"/>
        <color rgb="002A5FB0"/>
      </dataBar>
    </cfRule>
  </conditionalFormatting>
  <conditionalFormatting sqref="G46:G48">
    <cfRule type="dataBar" priority="5">
      <dataBar showValue="0">
        <cfvo type="num" val="0"/>
        <cfvo type="num" val="1"/>
        <color rgb="002A5FB0"/>
      </dataBar>
    </cfRule>
  </conditionalFormatting>
  <conditionalFormatting sqref="H53:H55">
    <cfRule type="dataBar" priority="6">
      <dataBar showValue="0">
        <cfvo type="num" val="0"/>
        <cfvo type="num" val="1"/>
        <color rgb="002A5FB0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5145C4"/>
    <outlinePr summaryBelow="1" summaryRight="1"/>
    <pageSetUpPr/>
  </sheetPr>
  <dimension ref="B1:O59"/>
  <sheetViews>
    <sheetView showGridLines="0" tabSelected="0" zoomScale="10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34" customHeight="1">
      <c r="B1" s="86" t="inlineStr">
        <is>
          <t>Office workers</t>
        </is>
      </c>
    </row>
    <row r="2">
      <c r="B2" s="60">
        <f>COUNTA('Office_Data'!$A$2:$A$1000)&amp;" responses · illustrative data · PlateLoop answer: Loopi Work"</f>
        <v/>
      </c>
    </row>
    <row r="4" ht="44" customHeight="1">
      <c r="B4" s="41">
        <f>'Office'!$G$58</f>
        <v/>
      </c>
      <c r="C4" s="42" t="n"/>
      <c r="D4" s="42" t="n"/>
      <c r="E4" s="41">
        <f>'Office'!$F$34+'Office'!$F$35</f>
        <v/>
      </c>
      <c r="F4" s="42" t="n"/>
      <c r="G4" s="42" t="n"/>
      <c r="H4" s="41">
        <f>'Office'!$F$40</f>
        <v/>
      </c>
      <c r="I4" s="42" t="n"/>
      <c r="J4" s="42" t="n"/>
      <c r="K4" s="41">
        <f>'Office'!$F$48+'Office'!$F$49</f>
        <v/>
      </c>
      <c r="L4" s="42" t="n"/>
      <c r="M4" s="42" t="n"/>
    </row>
    <row r="5" ht="30" customHeight="1">
      <c r="B5" s="43" t="inlineStr">
        <is>
          <t>know the nutrients in their lunch</t>
        </is>
      </c>
      <c r="C5" s="42" t="n"/>
      <c r="D5" s="42" t="n"/>
      <c r="E5" s="43" t="inlineStr">
        <is>
          <t>afternoon energy dip often or daily</t>
        </is>
      </c>
      <c r="F5" s="42" t="n"/>
      <c r="G5" s="42" t="n"/>
      <c r="H5" s="43" t="inlineStr">
        <is>
          <t>would pre-order to skip the queue</t>
        </is>
      </c>
      <c r="I5" s="42" t="n"/>
      <c r="J5" s="42" t="n"/>
      <c r="K5" s="43" t="inlineStr">
        <is>
          <t>want meal data private or anonymous</t>
        </is>
      </c>
      <c r="L5" s="42" t="n"/>
      <c r="M5" s="42" t="n"/>
    </row>
    <row r="8" ht="22" customHeight="1">
      <c r="B8" s="61" t="inlineStr">
        <is>
          <t>O1  ·  Your age group</t>
        </is>
      </c>
    </row>
    <row r="9">
      <c r="B9" s="87" t="inlineStr">
        <is>
          <t>Answer</t>
        </is>
      </c>
      <c r="E9" s="17" t="inlineStr">
        <is>
          <t>People</t>
        </is>
      </c>
      <c r="F9" s="17" t="inlineStr">
        <is>
          <t>Share</t>
        </is>
      </c>
      <c r="G9" s="17" t="inlineStr"/>
    </row>
    <row r="10">
      <c r="B10" s="63" t="inlineStr">
        <is>
          <t>20–29</t>
        </is>
      </c>
      <c r="C10" s="64" t="n"/>
      <c r="D10" s="64" t="n"/>
      <c r="E10" s="65">
        <f>COUNTIF('Office_Data'!$B$2:$B$1000,B10)</f>
        <v/>
      </c>
      <c r="F10" s="88">
        <f>IFERROR(E10/SUM($E$10:$E$13),0)</f>
        <v/>
      </c>
      <c r="G10" s="67">
        <f>F10</f>
        <v/>
      </c>
      <c r="H10" s="64" t="n"/>
    </row>
    <row r="11">
      <c r="B11" s="68" t="inlineStr">
        <is>
          <t>30–39</t>
        </is>
      </c>
      <c r="C11" s="69" t="n"/>
      <c r="D11" s="69" t="n"/>
      <c r="E11" s="70">
        <f>COUNTIF('Office_Data'!$B$2:$B$1000,B11)</f>
        <v/>
      </c>
      <c r="F11" s="89">
        <f>IFERROR(E11/SUM($E$10:$E$13),0)</f>
        <v/>
      </c>
      <c r="G11" s="72">
        <f>F11</f>
        <v/>
      </c>
      <c r="H11" s="69" t="n"/>
    </row>
    <row r="12">
      <c r="B12" s="63" t="inlineStr">
        <is>
          <t>40–49</t>
        </is>
      </c>
      <c r="C12" s="64" t="n"/>
      <c r="D12" s="64" t="n"/>
      <c r="E12" s="65">
        <f>COUNTIF('Office_Data'!$B$2:$B$1000,B12)</f>
        <v/>
      </c>
      <c r="F12" s="88">
        <f>IFERROR(E12/SUM($E$10:$E$13),0)</f>
        <v/>
      </c>
      <c r="G12" s="67">
        <f>F12</f>
        <v/>
      </c>
      <c r="H12" s="64" t="n"/>
    </row>
    <row r="13">
      <c r="B13" s="68" t="inlineStr">
        <is>
          <t>50+</t>
        </is>
      </c>
      <c r="C13" s="69" t="n"/>
      <c r="D13" s="69" t="n"/>
      <c r="E13" s="70">
        <f>COUNTIF('Office_Data'!$B$2:$B$1000,B13)</f>
        <v/>
      </c>
      <c r="F13" s="89">
        <f>IFERROR(E13/SUM($E$10:$E$13),0)</f>
        <v/>
      </c>
      <c r="G13" s="72">
        <f>F13</f>
        <v/>
      </c>
      <c r="H13" s="69" t="n"/>
    </row>
    <row r="16" ht="22" customHeight="1">
      <c r="B16" s="61" t="inlineStr">
        <is>
          <t>O2  ·  How many days a week do you eat at the office canteen?</t>
        </is>
      </c>
    </row>
    <row r="17" ht="30" customHeight="1">
      <c r="B17" s="90">
        <f>IFERROR(AVERAGE('Office_Data'!$C$2:$C$1000),0)</f>
        <v/>
      </c>
      <c r="C17" s="42" t="n"/>
      <c r="D17" s="90">
        <f>IFERROR(MEDIAN('Office_Data'!$C$2:$C$1000),0)</f>
        <v/>
      </c>
      <c r="E17" s="42" t="n"/>
      <c r="F17" s="90">
        <f>IFERROR(MIN('Office_Data'!$C$2:$C$1000),0)</f>
        <v/>
      </c>
      <c r="G17" s="42" t="n"/>
      <c r="H17" s="90">
        <f>IFERROR(MAX('Office_Data'!$C$2:$C$1000),0)</f>
        <v/>
      </c>
      <c r="I17" s="42" t="n"/>
    </row>
    <row r="18">
      <c r="B18" s="43" t="inlineStr">
        <is>
          <t>Average</t>
        </is>
      </c>
      <c r="C18" s="42" t="n"/>
      <c r="D18" s="43" t="inlineStr">
        <is>
          <t>Median</t>
        </is>
      </c>
      <c r="E18" s="42" t="n"/>
      <c r="F18" s="43" t="inlineStr">
        <is>
          <t>Lowest</t>
        </is>
      </c>
      <c r="G18" s="42" t="n"/>
      <c r="H18" s="43" t="inlineStr">
        <is>
          <t>Highest</t>
        </is>
      </c>
      <c r="I18" s="42" t="n"/>
    </row>
    <row r="20" ht="22" customHeight="1">
      <c r="B20" s="61" t="inlineStr">
        <is>
          <t>O3  ·  Do you have a health goal for your meals?</t>
        </is>
      </c>
    </row>
    <row r="21">
      <c r="B21" s="87" t="inlineStr">
        <is>
          <t>Answer</t>
        </is>
      </c>
      <c r="E21" s="17" t="inlineStr">
        <is>
          <t>People</t>
        </is>
      </c>
      <c r="F21" s="17" t="inlineStr">
        <is>
          <t>Share</t>
        </is>
      </c>
      <c r="G21" s="17" t="inlineStr"/>
    </row>
    <row r="22">
      <c r="B22" s="63" t="inlineStr">
        <is>
          <t>Lose weight</t>
        </is>
      </c>
      <c r="C22" s="64" t="n"/>
      <c r="D22" s="64" t="n"/>
      <c r="E22" s="65">
        <f>COUNTIF('Office_Data'!$D$2:$D$1000,B22)</f>
        <v/>
      </c>
      <c r="F22" s="88">
        <f>IFERROR(E22/SUM($E$22:$E$26),0)</f>
        <v/>
      </c>
      <c r="G22" s="67">
        <f>F22</f>
        <v/>
      </c>
      <c r="H22" s="64" t="n"/>
    </row>
    <row r="23">
      <c r="B23" s="68" t="inlineStr">
        <is>
          <t>Build muscle</t>
        </is>
      </c>
      <c r="C23" s="69" t="n"/>
      <c r="D23" s="69" t="n"/>
      <c r="E23" s="70">
        <f>COUNTIF('Office_Data'!$D$2:$D$1000,B23)</f>
        <v/>
      </c>
      <c r="F23" s="89">
        <f>IFERROR(E23/SUM($E$22:$E$26),0)</f>
        <v/>
      </c>
      <c r="G23" s="72">
        <f>F23</f>
        <v/>
      </c>
      <c r="H23" s="69" t="n"/>
    </row>
    <row r="24">
      <c r="B24" s="63" t="inlineStr">
        <is>
          <t>Steady energy</t>
        </is>
      </c>
      <c r="C24" s="64" t="n"/>
      <c r="D24" s="64" t="n"/>
      <c r="E24" s="65">
        <f>COUNTIF('Office_Data'!$D$2:$D$1000,B24)</f>
        <v/>
      </c>
      <c r="F24" s="88">
        <f>IFERROR(E24/SUM($E$22:$E$26),0)</f>
        <v/>
      </c>
      <c r="G24" s="67">
        <f>F24</f>
        <v/>
      </c>
      <c r="H24" s="64" t="n"/>
    </row>
    <row r="25">
      <c r="B25" s="68" t="inlineStr">
        <is>
          <t>Eat balanced</t>
        </is>
      </c>
      <c r="C25" s="69" t="n"/>
      <c r="D25" s="69" t="n"/>
      <c r="E25" s="70">
        <f>COUNTIF('Office_Data'!$D$2:$D$1000,B25)</f>
        <v/>
      </c>
      <c r="F25" s="89">
        <f>IFERROR(E25/SUM($E$22:$E$26),0)</f>
        <v/>
      </c>
      <c r="G25" s="72">
        <f>F25</f>
        <v/>
      </c>
      <c r="H25" s="69" t="n"/>
    </row>
    <row r="26">
      <c r="B26" s="63" t="inlineStr">
        <is>
          <t>None</t>
        </is>
      </c>
      <c r="C26" s="64" t="n"/>
      <c r="D26" s="64" t="n"/>
      <c r="E26" s="65">
        <f>COUNTIF('Office_Data'!$D$2:$D$1000,B26)</f>
        <v/>
      </c>
      <c r="F26" s="88">
        <f>IFERROR(E26/SUM($E$22:$E$26),0)</f>
        <v/>
      </c>
      <c r="G26" s="67">
        <f>F26</f>
        <v/>
      </c>
      <c r="H26" s="64" t="n"/>
    </row>
    <row r="29" ht="22" customHeight="1">
      <c r="B29" s="61" t="inlineStr">
        <is>
          <t>O5  ·  How often do you feel an energy dip in the afternoon?</t>
        </is>
      </c>
    </row>
    <row r="30">
      <c r="B30" s="87" t="inlineStr">
        <is>
          <t>Answer</t>
        </is>
      </c>
      <c r="E30" s="17" t="inlineStr">
        <is>
          <t>People</t>
        </is>
      </c>
      <c r="F30" s="17" t="inlineStr">
        <is>
          <t>Share</t>
        </is>
      </c>
      <c r="G30" s="17" t="inlineStr"/>
    </row>
    <row r="31">
      <c r="B31" s="63" t="inlineStr">
        <is>
          <t>Never</t>
        </is>
      </c>
      <c r="C31" s="64" t="n"/>
      <c r="D31" s="64" t="n"/>
      <c r="E31" s="65">
        <f>COUNTIF('Office_Data'!$F$2:$F$1000,B31)</f>
        <v/>
      </c>
      <c r="F31" s="88">
        <f>IFERROR(E31/SUM($E$31:$E$35),0)</f>
        <v/>
      </c>
      <c r="G31" s="67">
        <f>F31</f>
        <v/>
      </c>
      <c r="H31" s="64" t="n"/>
    </row>
    <row r="32">
      <c r="B32" s="68" t="inlineStr">
        <is>
          <t>Rarely</t>
        </is>
      </c>
      <c r="C32" s="69" t="n"/>
      <c r="D32" s="69" t="n"/>
      <c r="E32" s="70">
        <f>COUNTIF('Office_Data'!$F$2:$F$1000,B32)</f>
        <v/>
      </c>
      <c r="F32" s="89">
        <f>IFERROR(E32/SUM($E$31:$E$35),0)</f>
        <v/>
      </c>
      <c r="G32" s="72">
        <f>F32</f>
        <v/>
      </c>
      <c r="H32" s="69" t="n"/>
    </row>
    <row r="33">
      <c r="B33" s="63" t="inlineStr">
        <is>
          <t>Sometimes</t>
        </is>
      </c>
      <c r="C33" s="64" t="n"/>
      <c r="D33" s="64" t="n"/>
      <c r="E33" s="65">
        <f>COUNTIF('Office_Data'!$F$2:$F$1000,B33)</f>
        <v/>
      </c>
      <c r="F33" s="88">
        <f>IFERROR(E33/SUM($E$31:$E$35),0)</f>
        <v/>
      </c>
      <c r="G33" s="67">
        <f>F33</f>
        <v/>
      </c>
      <c r="H33" s="64" t="n"/>
    </row>
    <row r="34">
      <c r="B34" s="68" t="inlineStr">
        <is>
          <t>Often</t>
        </is>
      </c>
      <c r="C34" s="69" t="n"/>
      <c r="D34" s="69" t="n"/>
      <c r="E34" s="70">
        <f>COUNTIF('Office_Data'!$F$2:$F$1000,B34)</f>
        <v/>
      </c>
      <c r="F34" s="89">
        <f>IFERROR(E34/SUM($E$31:$E$35),0)</f>
        <v/>
      </c>
      <c r="G34" s="72">
        <f>F34</f>
        <v/>
      </c>
      <c r="H34" s="69" t="n"/>
    </row>
    <row r="35">
      <c r="B35" s="63" t="inlineStr">
        <is>
          <t>Daily</t>
        </is>
      </c>
      <c r="C35" s="64" t="n"/>
      <c r="D35" s="64" t="n"/>
      <c r="E35" s="65">
        <f>COUNTIF('Office_Data'!$F$2:$F$1000,B35)</f>
        <v/>
      </c>
      <c r="F35" s="88">
        <f>IFERROR(E35/SUM($E$31:$E$35),0)</f>
        <v/>
      </c>
      <c r="G35" s="67">
        <f>F35</f>
        <v/>
      </c>
      <c r="H35" s="64" t="n"/>
    </row>
    <row r="38" ht="22" customHeight="1">
      <c r="B38" s="61" t="inlineStr">
        <is>
          <t>O6  ·  Would you pre-order lunch to skip the queue?</t>
        </is>
      </c>
    </row>
    <row r="39">
      <c r="B39" s="87" t="inlineStr">
        <is>
          <t>Answer</t>
        </is>
      </c>
      <c r="E39" s="17" t="inlineStr">
        <is>
          <t>People</t>
        </is>
      </c>
      <c r="F39" s="17" t="inlineStr">
        <is>
          <t>Share</t>
        </is>
      </c>
      <c r="G39" s="17" t="inlineStr"/>
    </row>
    <row r="40">
      <c r="B40" s="63" t="inlineStr">
        <is>
          <t>Yes</t>
        </is>
      </c>
      <c r="C40" s="64" t="n"/>
      <c r="D40" s="64" t="n"/>
      <c r="E40" s="65">
        <f>COUNTIF('Office_Data'!$G$2:$G$1000,B40)</f>
        <v/>
      </c>
      <c r="F40" s="88">
        <f>IFERROR(E40/SUM($E$40:$E$42),0)</f>
        <v/>
      </c>
      <c r="G40" s="67">
        <f>F40</f>
        <v/>
      </c>
      <c r="H40" s="64" t="n"/>
    </row>
    <row r="41">
      <c r="B41" s="68" t="inlineStr">
        <is>
          <t>Maybe</t>
        </is>
      </c>
      <c r="C41" s="69" t="n"/>
      <c r="D41" s="69" t="n"/>
      <c r="E41" s="70">
        <f>COUNTIF('Office_Data'!$G$2:$G$1000,B41)</f>
        <v/>
      </c>
      <c r="F41" s="89">
        <f>IFERROR(E41/SUM($E$40:$E$42),0)</f>
        <v/>
      </c>
      <c r="G41" s="72">
        <f>F41</f>
        <v/>
      </c>
      <c r="H41" s="69" t="n"/>
    </row>
    <row r="42">
      <c r="B42" s="63" t="inlineStr">
        <is>
          <t>No</t>
        </is>
      </c>
      <c r="C42" s="64" t="n"/>
      <c r="D42" s="64" t="n"/>
      <c r="E42" s="65">
        <f>COUNTIF('Office_Data'!$G$2:$G$1000,B42)</f>
        <v/>
      </c>
      <c r="F42" s="88">
        <f>IFERROR(E42/SUM($E$40:$E$42),0)</f>
        <v/>
      </c>
      <c r="G42" s="67">
        <f>F42</f>
        <v/>
      </c>
      <c r="H42" s="64" t="n"/>
    </row>
    <row r="45" ht="22" customHeight="1">
      <c r="B45" s="61" t="inlineStr">
        <is>
          <t>O8  ·  Would you share your meal data with your employer?</t>
        </is>
      </c>
    </row>
    <row r="46">
      <c r="B46" s="87" t="inlineStr">
        <is>
          <t>Answer</t>
        </is>
      </c>
      <c r="E46" s="17" t="inlineStr">
        <is>
          <t>People</t>
        </is>
      </c>
      <c r="F46" s="17" t="inlineStr">
        <is>
          <t>Share</t>
        </is>
      </c>
      <c r="G46" s="17" t="inlineStr"/>
    </row>
    <row r="47">
      <c r="B47" s="63" t="inlineStr">
        <is>
          <t>Yes</t>
        </is>
      </c>
      <c r="C47" s="64" t="n"/>
      <c r="D47" s="64" t="n"/>
      <c r="E47" s="65">
        <f>COUNTIF('Office_Data'!$I$2:$I$1000,B47)</f>
        <v/>
      </c>
      <c r="F47" s="88">
        <f>IFERROR(E47/SUM($E$47:$E$49),0)</f>
        <v/>
      </c>
      <c r="G47" s="67">
        <f>F47</f>
        <v/>
      </c>
      <c r="H47" s="64" t="n"/>
    </row>
    <row r="48">
      <c r="B48" s="68" t="inlineStr">
        <is>
          <t>Only anonymous totals</t>
        </is>
      </c>
      <c r="C48" s="69" t="n"/>
      <c r="D48" s="69" t="n"/>
      <c r="E48" s="70">
        <f>COUNTIF('Office_Data'!$I$2:$I$1000,B48)</f>
        <v/>
      </c>
      <c r="F48" s="89">
        <f>IFERROR(E48/SUM($E$47:$E$49),0)</f>
        <v/>
      </c>
      <c r="G48" s="72">
        <f>F48</f>
        <v/>
      </c>
      <c r="H48" s="69" t="n"/>
    </row>
    <row r="49">
      <c r="B49" s="63" t="inlineStr">
        <is>
          <t>No</t>
        </is>
      </c>
      <c r="C49" s="64" t="n"/>
      <c r="D49" s="64" t="n"/>
      <c r="E49" s="65">
        <f>COUNTIF('Office_Data'!$I$2:$I$1000,B49)</f>
        <v/>
      </c>
      <c r="F49" s="88">
        <f>IFERROR(E49/SUM($E$47:$E$49),0)</f>
        <v/>
      </c>
      <c r="G49" s="67">
        <f>F49</f>
        <v/>
      </c>
      <c r="H49" s="64" t="n"/>
    </row>
    <row r="52" ht="22" customHeight="1">
      <c r="B52" s="61" t="inlineStr">
        <is>
          <t>O9  ·  How many minutes do you usually queue at lunch?</t>
        </is>
      </c>
    </row>
    <row r="53" ht="30" customHeight="1">
      <c r="B53" s="90">
        <f>IFERROR(AVERAGE('Office_Data'!$J$2:$J$1000),0)</f>
        <v/>
      </c>
      <c r="C53" s="42" t="n"/>
      <c r="D53" s="90">
        <f>IFERROR(MEDIAN('Office_Data'!$J$2:$J$1000),0)</f>
        <v/>
      </c>
      <c r="E53" s="42" t="n"/>
      <c r="F53" s="90">
        <f>IFERROR(MIN('Office_Data'!$J$2:$J$1000),0)</f>
        <v/>
      </c>
      <c r="G53" s="42" t="n"/>
      <c r="H53" s="90">
        <f>IFERROR(MAX('Office_Data'!$J$2:$J$1000),0)</f>
        <v/>
      </c>
      <c r="I53" s="42" t="n"/>
    </row>
    <row r="54">
      <c r="B54" s="43" t="inlineStr">
        <is>
          <t>Average</t>
        </is>
      </c>
      <c r="C54" s="42" t="n"/>
      <c r="D54" s="43" t="inlineStr">
        <is>
          <t>Median</t>
        </is>
      </c>
      <c r="E54" s="42" t="n"/>
      <c r="F54" s="43" t="inlineStr">
        <is>
          <t>Lowest</t>
        </is>
      </c>
      <c r="G54" s="42" t="n"/>
      <c r="H54" s="43" t="inlineStr">
        <is>
          <t>Highest</t>
        </is>
      </c>
      <c r="I54" s="42" t="n"/>
    </row>
    <row r="56" ht="22" customHeight="1">
      <c r="B56" s="61" t="inlineStr">
        <is>
          <t>Scale questions  ·  1 = disagree / not useful, 5 = agree / very useful</t>
        </is>
      </c>
    </row>
    <row r="57">
      <c r="B57" s="87" t="inlineStr">
        <is>
          <t>Statement</t>
        </is>
      </c>
      <c r="F57" s="17" t="inlineStr">
        <is>
          <t>Average</t>
        </is>
      </c>
      <c r="G57" s="17" t="inlineStr">
        <is>
          <t>Agree (4–5)</t>
        </is>
      </c>
      <c r="H57" s="17" t="inlineStr"/>
    </row>
    <row r="58" ht="30" customHeight="1">
      <c r="B58" s="73" t="inlineStr">
        <is>
          <t>O4  I know the nutrients in my canteen lunch.</t>
        </is>
      </c>
      <c r="C58" s="64" t="n"/>
      <c r="D58" s="64" t="n"/>
      <c r="E58" s="64" t="n"/>
      <c r="F58" s="74">
        <f>IFERROR(AVERAGE('Office_Data'!$E$2:$E$1000),0)</f>
        <v/>
      </c>
      <c r="G58" s="88">
        <f>IFERROR(COUNTIF('Office_Data'!$E$2:$E$1000,"&gt;=4")/COUNT('Office_Data'!$E$2:$E$1000),0)</f>
        <v/>
      </c>
      <c r="H58" s="75">
        <f>G58</f>
        <v/>
      </c>
    </row>
    <row r="59" ht="30" customHeight="1">
      <c r="B59" s="73" t="inlineStr">
        <is>
          <t>O7  A daily lunch suggestion for my health goal would be useful.</t>
        </is>
      </c>
      <c r="C59" s="64" t="n"/>
      <c r="D59" s="64" t="n"/>
      <c r="E59" s="64" t="n"/>
      <c r="F59" s="74">
        <f>IFERROR(AVERAGE('Office_Data'!$H$2:$H$1000),0)</f>
        <v/>
      </c>
      <c r="G59" s="88">
        <f>IFERROR(COUNTIF('Office_Data'!$H$2:$H$1000,"&gt;=4")/COUNT('Office_Data'!$H$2:$H$1000),0)</f>
        <v/>
      </c>
      <c r="H59" s="75">
        <f>G59</f>
        <v/>
      </c>
    </row>
  </sheetData>
  <mergeCells count="86">
    <mergeCell ref="B11:D11"/>
    <mergeCell ref="G21:H21"/>
    <mergeCell ref="B42:D42"/>
    <mergeCell ref="H53:I53"/>
    <mergeCell ref="G23:H23"/>
    <mergeCell ref="B34:D34"/>
    <mergeCell ref="B16:H16"/>
    <mergeCell ref="B30:D30"/>
    <mergeCell ref="G34:H34"/>
    <mergeCell ref="B52:H52"/>
    <mergeCell ref="H5:J5"/>
    <mergeCell ref="B4:D4"/>
    <mergeCell ref="K5:M5"/>
    <mergeCell ref="B29:H29"/>
    <mergeCell ref="G22:H22"/>
    <mergeCell ref="G12:H12"/>
    <mergeCell ref="F54:G54"/>
    <mergeCell ref="H54:I54"/>
    <mergeCell ref="B18:C18"/>
    <mergeCell ref="G48:H48"/>
    <mergeCell ref="B10:D10"/>
    <mergeCell ref="F18:G18"/>
    <mergeCell ref="B9:D9"/>
    <mergeCell ref="F17:G17"/>
    <mergeCell ref="B53:C53"/>
    <mergeCell ref="H17:I17"/>
    <mergeCell ref="G49:H49"/>
    <mergeCell ref="D53:E53"/>
    <mergeCell ref="B5:D5"/>
    <mergeCell ref="B56:H56"/>
    <mergeCell ref="G24:H24"/>
    <mergeCell ref="K4:M4"/>
    <mergeCell ref="G33:H33"/>
    <mergeCell ref="G26:H26"/>
    <mergeCell ref="B47:D47"/>
    <mergeCell ref="G35:H35"/>
    <mergeCell ref="B8:H8"/>
    <mergeCell ref="B31:D31"/>
    <mergeCell ref="B46:D46"/>
    <mergeCell ref="G25:H25"/>
    <mergeCell ref="H4:J4"/>
    <mergeCell ref="B21:D21"/>
    <mergeCell ref="B39:D39"/>
    <mergeCell ref="G9:H9"/>
    <mergeCell ref="B48:D48"/>
    <mergeCell ref="B54:C54"/>
    <mergeCell ref="B23:D23"/>
    <mergeCell ref="G11:H11"/>
    <mergeCell ref="G42:H42"/>
    <mergeCell ref="B13:D13"/>
    <mergeCell ref="B20:H20"/>
    <mergeCell ref="G39:H39"/>
    <mergeCell ref="B45:H45"/>
    <mergeCell ref="B49:D49"/>
    <mergeCell ref="G13:H13"/>
    <mergeCell ref="B17:C17"/>
    <mergeCell ref="D17:E17"/>
    <mergeCell ref="B41:D41"/>
    <mergeCell ref="B58:E58"/>
    <mergeCell ref="B35:D35"/>
    <mergeCell ref="B25:D25"/>
    <mergeCell ref="B57:E57"/>
    <mergeCell ref="B22:D22"/>
    <mergeCell ref="G32:H32"/>
    <mergeCell ref="G41:H41"/>
    <mergeCell ref="E4:G4"/>
    <mergeCell ref="D54:E54"/>
    <mergeCell ref="B12:D12"/>
    <mergeCell ref="G10:H10"/>
    <mergeCell ref="B40:D40"/>
    <mergeCell ref="B59:E59"/>
    <mergeCell ref="B24:D24"/>
    <mergeCell ref="B33:D33"/>
    <mergeCell ref="B1:O1"/>
    <mergeCell ref="G30:H30"/>
    <mergeCell ref="B32:D32"/>
    <mergeCell ref="B26:D26"/>
    <mergeCell ref="D18:E18"/>
    <mergeCell ref="G47:H47"/>
    <mergeCell ref="E5:G5"/>
    <mergeCell ref="H18:I18"/>
    <mergeCell ref="B38:H38"/>
    <mergeCell ref="G31:H31"/>
    <mergeCell ref="G46:H46"/>
    <mergeCell ref="G40:H40"/>
    <mergeCell ref="F53:G53"/>
  </mergeCells>
  <conditionalFormatting sqref="G10:G13">
    <cfRule type="dataBar" priority="1">
      <dataBar showValue="0">
        <cfvo type="num" val="0"/>
        <cfvo type="num" val="1"/>
        <color rgb="005145C4"/>
      </dataBar>
    </cfRule>
  </conditionalFormatting>
  <conditionalFormatting sqref="G22:G26">
    <cfRule type="dataBar" priority="2">
      <dataBar showValue="0">
        <cfvo type="num" val="0"/>
        <cfvo type="num" val="1"/>
        <color rgb="005145C4"/>
      </dataBar>
    </cfRule>
  </conditionalFormatting>
  <conditionalFormatting sqref="G31:G35">
    <cfRule type="dataBar" priority="3">
      <dataBar showValue="0">
        <cfvo type="num" val="0"/>
        <cfvo type="num" val="1"/>
        <color rgb="005145C4"/>
      </dataBar>
    </cfRule>
  </conditionalFormatting>
  <conditionalFormatting sqref="G40:G42">
    <cfRule type="dataBar" priority="4">
      <dataBar showValue="0">
        <cfvo type="num" val="0"/>
        <cfvo type="num" val="1"/>
        <color rgb="005145C4"/>
      </dataBar>
    </cfRule>
  </conditionalFormatting>
  <conditionalFormatting sqref="G47:G49">
    <cfRule type="dataBar" priority="5">
      <dataBar showValue="0">
        <cfvo type="num" val="0"/>
        <cfvo type="num" val="1"/>
        <color rgb="005145C4"/>
      </dataBar>
    </cfRule>
  </conditionalFormatting>
  <conditionalFormatting sqref="H58:H59">
    <cfRule type="dataBar" priority="6">
      <dataBar showValue="0">
        <cfvo type="num" val="0"/>
        <cfvo type="num" val="1"/>
        <color rgb="005145C4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B9C0BB"/>
    <outlinePr summaryBelow="1" summaryRight="1"/>
    <pageSetUpPr/>
  </sheetPr>
  <dimension ref="A1:L31"/>
  <sheetViews>
    <sheetView showGridLines="0"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>
      <c r="A1" s="91" t="inlineStr">
        <is>
          <t>ID</t>
        </is>
      </c>
      <c r="B1" s="91" t="inlineStr">
        <is>
          <t>S1</t>
        </is>
      </c>
      <c r="C1" s="91" t="inlineStr">
        <is>
          <t>S2</t>
        </is>
      </c>
      <c r="D1" s="91" t="inlineStr">
        <is>
          <t>S3</t>
        </is>
      </c>
      <c r="E1" s="91" t="inlineStr">
        <is>
          <t>S4</t>
        </is>
      </c>
      <c r="F1" s="91" t="inlineStr">
        <is>
          <t>S5</t>
        </is>
      </c>
      <c r="G1" s="91" t="inlineStr">
        <is>
          <t>S6</t>
        </is>
      </c>
      <c r="H1" s="91" t="inlineStr">
        <is>
          <t>S7</t>
        </is>
      </c>
      <c r="I1" s="91" t="inlineStr">
        <is>
          <t>S8</t>
        </is>
      </c>
      <c r="J1" s="91" t="inlineStr">
        <is>
          <t>S9</t>
        </is>
      </c>
      <c r="K1" s="91" t="inlineStr">
        <is>
          <t>S10</t>
        </is>
      </c>
      <c r="L1" s="91" t="inlineStr">
        <is>
          <t>S11</t>
        </is>
      </c>
    </row>
    <row r="2">
      <c r="A2" s="92" t="inlineStr">
        <is>
          <t>S001</t>
        </is>
      </c>
      <c r="B2" s="92" t="inlineStr">
        <is>
          <t>Secondary school</t>
        </is>
      </c>
      <c r="C2" s="92" t="inlineStr">
        <is>
          <t>Often</t>
        </is>
      </c>
      <c r="D2" s="92" t="inlineStr">
        <is>
          <t>Not hungry</t>
        </is>
      </c>
      <c r="E2" s="92" t="inlineStr">
        <is>
          <t>No</t>
        </is>
      </c>
      <c r="F2" s="92" t="inlineStr">
        <is>
          <t>Yes</t>
        </is>
      </c>
      <c r="G2" s="92" t="n">
        <v>5</v>
      </c>
      <c r="H2" s="92" t="inlineStr">
        <is>
          <t>Calories</t>
        </is>
      </c>
      <c r="I2" s="92" t="n">
        <v>5</v>
      </c>
      <c r="J2" s="92" t="n">
        <v>5</v>
      </c>
      <c r="K2" s="92" t="n">
        <v>5</v>
      </c>
      <c r="L2" s="92" t="inlineStr">
        <is>
          <t>I don’t want my name on a leaderboard.</t>
        </is>
      </c>
    </row>
    <row r="3">
      <c r="A3" s="92" t="inlineStr">
        <is>
          <t>S002</t>
        </is>
      </c>
      <c r="B3" s="92" t="inlineStr">
        <is>
          <t>University</t>
        </is>
      </c>
      <c r="C3" s="92" t="inlineStr">
        <is>
          <t>Almost always</t>
        </is>
      </c>
      <c r="D3" s="92" t="inlineStr">
        <is>
          <t>Didn’t recognise the dish</t>
        </is>
      </c>
      <c r="E3" s="92" t="inlineStr">
        <is>
          <t>Yes</t>
        </is>
      </c>
      <c r="F3" s="92" t="inlineStr">
        <is>
          <t>Yes</t>
        </is>
      </c>
      <c r="G3" s="92" t="n">
        <v>4</v>
      </c>
      <c r="H3" s="92" t="inlineStr">
        <is>
          <t>Food groups</t>
        </is>
      </c>
      <c r="I3" s="92" t="n">
        <v>3</v>
      </c>
      <c r="J3" s="92" t="n">
        <v>5</v>
      </c>
      <c r="K3" s="92" t="n">
        <v>3</v>
      </c>
      <c r="L3" s="92" t="inlineStr"/>
    </row>
    <row r="4">
      <c r="A4" s="92" t="inlineStr">
        <is>
          <t>S003</t>
        </is>
      </c>
      <c r="B4" s="92" t="inlineStr">
        <is>
          <t>Secondary school</t>
        </is>
      </c>
      <c r="C4" s="92" t="inlineStr">
        <is>
          <t>Almost always</t>
        </is>
      </c>
      <c r="D4" s="92" t="inlineStr">
        <is>
          <t>Portion too big</t>
        </is>
      </c>
      <c r="E4" s="92" t="inlineStr">
        <is>
          <t>Yes</t>
        </is>
      </c>
      <c r="F4" s="92" t="inlineStr">
        <is>
          <t>Sometimes</t>
        </is>
      </c>
      <c r="G4" s="92" t="n">
        <v>4</v>
      </c>
      <c r="H4" s="92" t="inlineStr">
        <is>
          <t>Food groups</t>
        </is>
      </c>
      <c r="I4" s="92" t="n">
        <v>4</v>
      </c>
      <c r="J4" s="92" t="n">
        <v>4</v>
      </c>
      <c r="K4" s="92" t="n">
        <v>4</v>
      </c>
      <c r="L4" s="92" t="inlineStr">
        <is>
          <t>I prefer not to use face scanning.</t>
        </is>
      </c>
    </row>
    <row r="5">
      <c r="A5" s="92" t="inlineStr">
        <is>
          <t>S004</t>
        </is>
      </c>
      <c r="B5" s="92" t="inlineStr">
        <is>
          <t>University</t>
        </is>
      </c>
      <c r="C5" s="92" t="inlineStr">
        <is>
          <t>Sometimes</t>
        </is>
      </c>
      <c r="D5" s="92" t="inlineStr">
        <is>
          <t>Don’t like the taste</t>
        </is>
      </c>
      <c r="E5" s="92" t="inlineStr">
        <is>
          <t>Yes</t>
        </is>
      </c>
      <c r="F5" s="92" t="inlineStr">
        <is>
          <t>Sometimes</t>
        </is>
      </c>
      <c r="G5" s="92" t="n">
        <v>4</v>
      </c>
      <c r="H5" s="92" t="inlineStr">
        <is>
          <t>Neither</t>
        </is>
      </c>
      <c r="I5" s="92" t="n">
        <v>3</v>
      </c>
      <c r="J5" s="92" t="n">
        <v>5</v>
      </c>
      <c r="K5" s="92" t="n">
        <v>5</v>
      </c>
      <c r="L5" s="92" t="inlineStr"/>
    </row>
    <row r="6">
      <c r="A6" s="92" t="inlineStr">
        <is>
          <t>S005</t>
        </is>
      </c>
      <c r="B6" s="92" t="inlineStr">
        <is>
          <t>Secondary school</t>
        </is>
      </c>
      <c r="C6" s="92" t="inlineStr">
        <is>
          <t>Sometimes</t>
        </is>
      </c>
      <c r="D6" s="92" t="inlineStr">
        <is>
          <t>Portion too big</t>
        </is>
      </c>
      <c r="E6" s="92" t="inlineStr">
        <is>
          <t>Yes</t>
        </is>
      </c>
      <c r="F6" s="92" t="inlineStr">
        <is>
          <t>No</t>
        </is>
      </c>
      <c r="G6" s="92" t="n">
        <v>4</v>
      </c>
      <c r="H6" s="92" t="inlineStr">
        <is>
          <t>Both</t>
        </is>
      </c>
      <c r="I6" s="92" t="n">
        <v>4</v>
      </c>
      <c r="J6" s="92" t="n">
        <v>4</v>
      </c>
      <c r="K6" s="92" t="n">
        <v>2</v>
      </c>
      <c r="L6" s="92" t="inlineStr"/>
    </row>
    <row r="7">
      <c r="A7" s="92" t="inlineStr">
        <is>
          <t>S006</t>
        </is>
      </c>
      <c r="B7" s="92" t="inlineStr">
        <is>
          <t>University</t>
        </is>
      </c>
      <c r="C7" s="92" t="inlineStr">
        <is>
          <t>Never</t>
        </is>
      </c>
      <c r="D7" s="92" t="inlineStr">
        <is>
          <t>Not hungry</t>
        </is>
      </c>
      <c r="E7" s="92" t="inlineStr">
        <is>
          <t>Yes</t>
        </is>
      </c>
      <c r="F7" s="92" t="inlineStr">
        <is>
          <t>No</t>
        </is>
      </c>
      <c r="G7" s="92" t="n">
        <v>3</v>
      </c>
      <c r="H7" s="92" t="inlineStr">
        <is>
          <t>Food groups</t>
        </is>
      </c>
      <c r="I7" s="92" t="n">
        <v>5</v>
      </c>
      <c r="J7" s="92" t="n">
        <v>4</v>
      </c>
      <c r="K7" s="92" t="n">
        <v>1</v>
      </c>
      <c r="L7" s="92" t="inlineStr"/>
    </row>
    <row r="8">
      <c r="A8" s="92" t="inlineStr">
        <is>
          <t>S007</t>
        </is>
      </c>
      <c r="B8" s="92" t="inlineStr">
        <is>
          <t>University</t>
        </is>
      </c>
      <c r="C8" s="92" t="inlineStr">
        <is>
          <t>Rarely</t>
        </is>
      </c>
      <c r="D8" s="92" t="inlineStr">
        <is>
          <t>Not hungry</t>
        </is>
      </c>
      <c r="E8" s="92" t="inlineStr">
        <is>
          <t>Yes</t>
        </is>
      </c>
      <c r="F8" s="92" t="inlineStr">
        <is>
          <t>No</t>
        </is>
      </c>
      <c r="G8" s="92" t="n">
        <v>3</v>
      </c>
      <c r="H8" s="92" t="inlineStr">
        <is>
          <t>Food groups</t>
        </is>
      </c>
      <c r="I8" s="92" t="n">
        <v>3</v>
      </c>
      <c r="J8" s="92" t="n">
        <v>4</v>
      </c>
      <c r="K8" s="92" t="n">
        <v>4</v>
      </c>
      <c r="L8" s="92" t="inlineStr"/>
    </row>
    <row r="9">
      <c r="A9" s="92" t="inlineStr">
        <is>
          <t>S008</t>
        </is>
      </c>
      <c r="B9" s="92" t="inlineStr">
        <is>
          <t>Secondary school</t>
        </is>
      </c>
      <c r="C9" s="92" t="inlineStr">
        <is>
          <t>Sometimes</t>
        </is>
      </c>
      <c r="D9" s="92" t="inlineStr">
        <is>
          <t>Portion too big</t>
        </is>
      </c>
      <c r="E9" s="92" t="inlineStr">
        <is>
          <t>No</t>
        </is>
      </c>
      <c r="F9" s="92" t="inlineStr">
        <is>
          <t>Yes</t>
        </is>
      </c>
      <c r="G9" s="92" t="n">
        <v>5</v>
      </c>
      <c r="H9" s="92" t="inlineStr">
        <is>
          <t>Food groups</t>
        </is>
      </c>
      <c r="I9" s="92" t="n">
        <v>4</v>
      </c>
      <c r="J9" s="92" t="n">
        <v>3</v>
      </c>
      <c r="K9" s="92" t="n">
        <v>3</v>
      </c>
      <c r="L9" s="92" t="inlineStr"/>
    </row>
    <row r="10">
      <c r="A10" s="92" t="inlineStr">
        <is>
          <t>S009</t>
        </is>
      </c>
      <c r="B10" s="92" t="inlineStr">
        <is>
          <t>University</t>
        </is>
      </c>
      <c r="C10" s="92" t="inlineStr">
        <is>
          <t>Never</t>
        </is>
      </c>
      <c r="D10" s="92" t="inlineStr">
        <is>
          <t>Ran out of time</t>
        </is>
      </c>
      <c r="E10" s="92" t="inlineStr">
        <is>
          <t>Maybe</t>
        </is>
      </c>
      <c r="F10" s="92" t="inlineStr">
        <is>
          <t>Sometimes</t>
        </is>
      </c>
      <c r="G10" s="92" t="n">
        <v>4</v>
      </c>
      <c r="H10" s="92" t="inlineStr">
        <is>
          <t>Both</t>
        </is>
      </c>
      <c r="I10" s="92" t="n">
        <v>3</v>
      </c>
      <c r="J10" s="92" t="n">
        <v>5</v>
      </c>
      <c r="K10" s="92" t="n">
        <v>2</v>
      </c>
      <c r="L10" s="92" t="inlineStr"/>
    </row>
    <row r="11">
      <c r="A11" s="92" t="inlineStr">
        <is>
          <t>S010</t>
        </is>
      </c>
      <c r="B11" s="92" t="inlineStr">
        <is>
          <t>Secondary school</t>
        </is>
      </c>
      <c r="C11" s="92" t="inlineStr">
        <is>
          <t>Often</t>
        </is>
      </c>
      <c r="D11" s="92" t="inlineStr">
        <is>
          <t>Portion too big</t>
        </is>
      </c>
      <c r="E11" s="92" t="inlineStr">
        <is>
          <t>Yes</t>
        </is>
      </c>
      <c r="F11" s="92" t="inlineStr">
        <is>
          <t>No</t>
        </is>
      </c>
      <c r="G11" s="92" t="n">
        <v>4</v>
      </c>
      <c r="H11" s="92" t="inlineStr">
        <is>
          <t>Calories</t>
        </is>
      </c>
      <c r="I11" s="92" t="n">
        <v>5</v>
      </c>
      <c r="J11" s="92" t="n">
        <v>3</v>
      </c>
      <c r="K11" s="92" t="n">
        <v>4</v>
      </c>
      <c r="L11" s="92" t="inlineStr"/>
    </row>
    <row r="12">
      <c r="A12" s="92" t="inlineStr">
        <is>
          <t>S011</t>
        </is>
      </c>
      <c r="B12" s="92" t="inlineStr">
        <is>
          <t>Secondary school</t>
        </is>
      </c>
      <c r="C12" s="92" t="inlineStr">
        <is>
          <t>Often</t>
        </is>
      </c>
      <c r="D12" s="92" t="inlineStr">
        <is>
          <t>Ran out of time</t>
        </is>
      </c>
      <c r="E12" s="92" t="inlineStr">
        <is>
          <t>Yes</t>
        </is>
      </c>
      <c r="F12" s="92" t="inlineStr">
        <is>
          <t>No</t>
        </is>
      </c>
      <c r="G12" s="92" t="n">
        <v>4</v>
      </c>
      <c r="H12" s="92" t="inlineStr">
        <is>
          <t>Both</t>
        </is>
      </c>
      <c r="I12" s="92" t="n">
        <v>5</v>
      </c>
      <c r="J12" s="92" t="n">
        <v>5</v>
      </c>
      <c r="K12" s="92" t="n">
        <v>4</v>
      </c>
      <c r="L12" s="92" t="inlineStr">
        <is>
          <t>Sometimes I don’t know what the dish is.</t>
        </is>
      </c>
    </row>
    <row r="13">
      <c r="A13" s="92" t="inlineStr">
        <is>
          <t>S012</t>
        </is>
      </c>
      <c r="B13" s="92" t="inlineStr">
        <is>
          <t>Secondary school</t>
        </is>
      </c>
      <c r="C13" s="92" t="inlineStr">
        <is>
          <t>Rarely</t>
        </is>
      </c>
      <c r="D13" s="92" t="inlineStr">
        <is>
          <t>Not hungry</t>
        </is>
      </c>
      <c r="E13" s="92" t="inlineStr">
        <is>
          <t>Maybe</t>
        </is>
      </c>
      <c r="F13" s="92" t="inlineStr">
        <is>
          <t>Sometimes</t>
        </is>
      </c>
      <c r="G13" s="92" t="n">
        <v>5</v>
      </c>
      <c r="H13" s="92" t="inlineStr">
        <is>
          <t>Food groups</t>
        </is>
      </c>
      <c r="I13" s="92" t="n">
        <v>3</v>
      </c>
      <c r="J13" s="92" t="n">
        <v>5</v>
      </c>
      <c r="K13" s="92" t="n">
        <v>1</v>
      </c>
      <c r="L13" s="92" t="inlineStr"/>
    </row>
    <row r="14">
      <c r="A14" s="92" t="inlineStr">
        <is>
          <t>S013</t>
        </is>
      </c>
      <c r="B14" s="92" t="inlineStr">
        <is>
          <t>Secondary school</t>
        </is>
      </c>
      <c r="C14" s="92" t="inlineStr">
        <is>
          <t>Rarely</t>
        </is>
      </c>
      <c r="D14" s="92" t="inlineStr">
        <is>
          <t>Not hungry</t>
        </is>
      </c>
      <c r="E14" s="92" t="inlineStr">
        <is>
          <t>No</t>
        </is>
      </c>
      <c r="F14" s="92" t="inlineStr">
        <is>
          <t>No</t>
        </is>
      </c>
      <c r="G14" s="92" t="n">
        <v>4</v>
      </c>
      <c r="H14" s="92" t="inlineStr">
        <is>
          <t>Both</t>
        </is>
      </c>
      <c r="I14" s="92" t="n">
        <v>4</v>
      </c>
      <c r="J14" s="92" t="n">
        <v>5</v>
      </c>
      <c r="K14" s="92" t="n">
        <v>2</v>
      </c>
      <c r="L14" s="92" t="inlineStr"/>
    </row>
    <row r="15">
      <c r="A15" s="92" t="inlineStr">
        <is>
          <t>S014</t>
        </is>
      </c>
      <c r="B15" s="92" t="inlineStr">
        <is>
          <t>Secondary school</t>
        </is>
      </c>
      <c r="C15" s="92" t="inlineStr">
        <is>
          <t>Rarely</t>
        </is>
      </c>
      <c r="D15" s="92" t="inlineStr">
        <is>
          <t>Don’t like the taste</t>
        </is>
      </c>
      <c r="E15" s="92" t="inlineStr">
        <is>
          <t>No</t>
        </is>
      </c>
      <c r="F15" s="92" t="inlineStr">
        <is>
          <t>Yes</t>
        </is>
      </c>
      <c r="G15" s="92" t="n">
        <v>2</v>
      </c>
      <c r="H15" s="92" t="inlineStr">
        <is>
          <t>Calories</t>
        </is>
      </c>
      <c r="I15" s="92" t="n">
        <v>5</v>
      </c>
      <c r="J15" s="92" t="n">
        <v>5</v>
      </c>
      <c r="K15" s="92" t="n">
        <v>1</v>
      </c>
      <c r="L15" s="92" t="inlineStr">
        <is>
          <t>More fruit options please.</t>
        </is>
      </c>
    </row>
    <row r="16">
      <c r="A16" s="92" t="inlineStr">
        <is>
          <t>S015</t>
        </is>
      </c>
      <c r="B16" s="92" t="inlineStr">
        <is>
          <t>Secondary school</t>
        </is>
      </c>
      <c r="C16" s="92" t="inlineStr">
        <is>
          <t>Sometimes</t>
        </is>
      </c>
      <c r="D16" s="92" t="inlineStr">
        <is>
          <t>Portion too big</t>
        </is>
      </c>
      <c r="E16" s="92" t="inlineStr">
        <is>
          <t>Maybe</t>
        </is>
      </c>
      <c r="F16" s="92" t="inlineStr">
        <is>
          <t>Yes</t>
        </is>
      </c>
      <c r="G16" s="92" t="n">
        <v>4</v>
      </c>
      <c r="H16" s="92" t="inlineStr">
        <is>
          <t>Food groups</t>
        </is>
      </c>
      <c r="I16" s="92" t="n">
        <v>5</v>
      </c>
      <c r="J16" s="92" t="n">
        <v>4</v>
      </c>
      <c r="K16" s="92" t="n">
        <v>1</v>
      </c>
      <c r="L16" s="92" t="inlineStr"/>
    </row>
    <row r="17">
      <c r="A17" s="92" t="inlineStr">
        <is>
          <t>S016</t>
        </is>
      </c>
      <c r="B17" s="92" t="inlineStr">
        <is>
          <t>Secondary school</t>
        </is>
      </c>
      <c r="C17" s="92" t="inlineStr">
        <is>
          <t>Sometimes</t>
        </is>
      </c>
      <c r="D17" s="92" t="inlineStr">
        <is>
          <t>Portion too big</t>
        </is>
      </c>
      <c r="E17" s="92" t="inlineStr">
        <is>
          <t>Maybe</t>
        </is>
      </c>
      <c r="F17" s="92" t="inlineStr">
        <is>
          <t>Sometimes</t>
        </is>
      </c>
      <c r="G17" s="92" t="n">
        <v>3</v>
      </c>
      <c r="H17" s="92" t="inlineStr">
        <is>
          <t>Food groups</t>
        </is>
      </c>
      <c r="I17" s="92" t="n">
        <v>4</v>
      </c>
      <c r="J17" s="92" t="n">
        <v>5</v>
      </c>
      <c r="K17" s="92" t="n">
        <v>3</v>
      </c>
      <c r="L17" s="92" t="inlineStr"/>
    </row>
    <row r="18">
      <c r="A18" s="92" t="inlineStr">
        <is>
          <t>S017</t>
        </is>
      </c>
      <c r="B18" s="92" t="inlineStr">
        <is>
          <t>Secondary school</t>
        </is>
      </c>
      <c r="C18" s="92" t="inlineStr">
        <is>
          <t>Rarely</t>
        </is>
      </c>
      <c r="D18" s="92" t="inlineStr">
        <is>
          <t>Not hungry</t>
        </is>
      </c>
      <c r="E18" s="92" t="inlineStr">
        <is>
          <t>Yes</t>
        </is>
      </c>
      <c r="F18" s="92" t="inlineStr">
        <is>
          <t>Yes</t>
        </is>
      </c>
      <c r="G18" s="92" t="n">
        <v>3</v>
      </c>
      <c r="H18" s="92" t="inlineStr">
        <is>
          <t>Food groups</t>
        </is>
      </c>
      <c r="I18" s="92" t="n">
        <v>2</v>
      </c>
      <c r="J18" s="92" t="n">
        <v>3</v>
      </c>
      <c r="K18" s="92" t="n">
        <v>5</v>
      </c>
      <c r="L18" s="92" t="inlineStr">
        <is>
          <t>I don’t want my name on a leaderboard.</t>
        </is>
      </c>
    </row>
    <row r="19">
      <c r="A19" s="92" t="inlineStr">
        <is>
          <t>S018</t>
        </is>
      </c>
      <c r="B19" s="92" t="inlineStr">
        <is>
          <t>Secondary school</t>
        </is>
      </c>
      <c r="C19" s="92" t="inlineStr">
        <is>
          <t>Often</t>
        </is>
      </c>
      <c r="D19" s="92" t="inlineStr">
        <is>
          <t>Portion too big</t>
        </is>
      </c>
      <c r="E19" s="92" t="inlineStr">
        <is>
          <t>Yes</t>
        </is>
      </c>
      <c r="F19" s="92" t="inlineStr">
        <is>
          <t>Yes</t>
        </is>
      </c>
      <c r="G19" s="92" t="n">
        <v>4</v>
      </c>
      <c r="H19" s="92" t="inlineStr">
        <is>
          <t>Food groups</t>
        </is>
      </c>
      <c r="I19" s="92" t="n">
        <v>5</v>
      </c>
      <c r="J19" s="92" t="n">
        <v>5</v>
      </c>
      <c r="K19" s="92" t="n">
        <v>4</v>
      </c>
      <c r="L19" s="92" t="inlineStr"/>
    </row>
    <row r="20">
      <c r="A20" s="92" t="inlineStr">
        <is>
          <t>S019</t>
        </is>
      </c>
      <c r="B20" s="92" t="inlineStr">
        <is>
          <t>Secondary school</t>
        </is>
      </c>
      <c r="C20" s="92" t="inlineStr">
        <is>
          <t>Sometimes</t>
        </is>
      </c>
      <c r="D20" s="92" t="inlineStr">
        <is>
          <t>Portion too big</t>
        </is>
      </c>
      <c r="E20" s="92" t="inlineStr">
        <is>
          <t>Yes</t>
        </is>
      </c>
      <c r="F20" s="92" t="inlineStr">
        <is>
          <t>Sometimes</t>
        </is>
      </c>
      <c r="G20" s="92" t="n">
        <v>3</v>
      </c>
      <c r="H20" s="92" t="inlineStr">
        <is>
          <t>Food groups</t>
        </is>
      </c>
      <c r="I20" s="92" t="n">
        <v>3</v>
      </c>
      <c r="J20" s="92" t="n">
        <v>4</v>
      </c>
      <c r="K20" s="92" t="n">
        <v>1</v>
      </c>
      <c r="L20" s="92" t="inlineStr"/>
    </row>
    <row r="21">
      <c r="A21" s="92" t="inlineStr">
        <is>
          <t>S020</t>
        </is>
      </c>
      <c r="B21" s="92" t="inlineStr">
        <is>
          <t>Secondary school</t>
        </is>
      </c>
      <c r="C21" s="92" t="inlineStr">
        <is>
          <t>Often</t>
        </is>
      </c>
      <c r="D21" s="92" t="inlineStr">
        <is>
          <t>Not hungry</t>
        </is>
      </c>
      <c r="E21" s="92" t="inlineStr">
        <is>
          <t>Maybe</t>
        </is>
      </c>
      <c r="F21" s="92" t="inlineStr">
        <is>
          <t>Yes</t>
        </is>
      </c>
      <c r="G21" s="92" t="n">
        <v>5</v>
      </c>
      <c r="H21" s="92" t="inlineStr">
        <is>
          <t>Both</t>
        </is>
      </c>
      <c r="I21" s="92" t="n">
        <v>4</v>
      </c>
      <c r="J21" s="92" t="n">
        <v>3</v>
      </c>
      <c r="K21" s="92" t="n">
        <v>2</v>
      </c>
      <c r="L21" s="92" t="inlineStr"/>
    </row>
    <row r="22">
      <c r="A22" s="92" t="inlineStr">
        <is>
          <t>S021</t>
        </is>
      </c>
      <c r="B22" s="92" t="inlineStr">
        <is>
          <t>Secondary school</t>
        </is>
      </c>
      <c r="C22" s="92" t="inlineStr">
        <is>
          <t>Rarely</t>
        </is>
      </c>
      <c r="D22" s="92" t="inlineStr">
        <is>
          <t>Don’t like the taste</t>
        </is>
      </c>
      <c r="E22" s="92" t="inlineStr">
        <is>
          <t>Yes</t>
        </is>
      </c>
      <c r="F22" s="92" t="inlineStr">
        <is>
          <t>No</t>
        </is>
      </c>
      <c r="G22" s="92" t="n">
        <v>2</v>
      </c>
      <c r="H22" s="92" t="inlineStr">
        <is>
          <t>Food groups</t>
        </is>
      </c>
      <c r="I22" s="92" t="n">
        <v>5</v>
      </c>
      <c r="J22" s="92" t="n">
        <v>5</v>
      </c>
      <c r="K22" s="92" t="n">
        <v>4</v>
      </c>
      <c r="L22" s="92" t="inlineStr">
        <is>
          <t>I don’t want my name on a leaderboard.</t>
        </is>
      </c>
    </row>
    <row r="23">
      <c r="A23" s="92" t="inlineStr">
        <is>
          <t>S022</t>
        </is>
      </c>
      <c r="B23" s="92" t="inlineStr">
        <is>
          <t>Secondary school</t>
        </is>
      </c>
      <c r="C23" s="92" t="inlineStr">
        <is>
          <t>Rarely</t>
        </is>
      </c>
      <c r="D23" s="92" t="inlineStr">
        <is>
          <t>Portion too big</t>
        </is>
      </c>
      <c r="E23" s="92" t="inlineStr">
        <is>
          <t>Yes</t>
        </is>
      </c>
      <c r="F23" s="92" t="inlineStr">
        <is>
          <t>Yes</t>
        </is>
      </c>
      <c r="G23" s="92" t="n">
        <v>3</v>
      </c>
      <c r="H23" s="92" t="inlineStr">
        <is>
          <t>Neither</t>
        </is>
      </c>
      <c r="I23" s="92" t="n">
        <v>4</v>
      </c>
      <c r="J23" s="92" t="n">
        <v>4</v>
      </c>
      <c r="K23" s="92" t="n">
        <v>2</v>
      </c>
      <c r="L23" s="92" t="inlineStr"/>
    </row>
    <row r="24">
      <c r="A24" s="92" t="inlineStr">
        <is>
          <t>S023</t>
        </is>
      </c>
      <c r="B24" s="92" t="inlineStr">
        <is>
          <t>Secondary school</t>
        </is>
      </c>
      <c r="C24" s="92" t="inlineStr">
        <is>
          <t>Sometimes</t>
        </is>
      </c>
      <c r="D24" s="92" t="inlineStr">
        <is>
          <t>Portion too big</t>
        </is>
      </c>
      <c r="E24" s="92" t="inlineStr">
        <is>
          <t>Maybe</t>
        </is>
      </c>
      <c r="F24" s="92" t="inlineStr">
        <is>
          <t>Yes</t>
        </is>
      </c>
      <c r="G24" s="92" t="n">
        <v>5</v>
      </c>
      <c r="H24" s="92" t="inlineStr">
        <is>
          <t>Food groups</t>
        </is>
      </c>
      <c r="I24" s="92" t="n">
        <v>4</v>
      </c>
      <c r="J24" s="92" t="n">
        <v>5</v>
      </c>
      <c r="K24" s="92" t="n">
        <v>4</v>
      </c>
      <c r="L24" s="92" t="inlineStr"/>
    </row>
    <row r="25">
      <c r="A25" s="92" t="inlineStr">
        <is>
          <t>S024</t>
        </is>
      </c>
      <c r="B25" s="92" t="inlineStr">
        <is>
          <t>University</t>
        </is>
      </c>
      <c r="C25" s="92" t="inlineStr">
        <is>
          <t>Often</t>
        </is>
      </c>
      <c r="D25" s="92" t="inlineStr">
        <is>
          <t>Portion too big</t>
        </is>
      </c>
      <c r="E25" s="92" t="inlineStr">
        <is>
          <t>No</t>
        </is>
      </c>
      <c r="F25" s="92" t="inlineStr">
        <is>
          <t>No</t>
        </is>
      </c>
      <c r="G25" s="92" t="n">
        <v>3</v>
      </c>
      <c r="H25" s="92" t="inlineStr">
        <is>
          <t>Food groups</t>
        </is>
      </c>
      <c r="I25" s="92" t="n">
        <v>1</v>
      </c>
      <c r="J25" s="92" t="n">
        <v>3</v>
      </c>
      <c r="K25" s="92" t="n">
        <v>2</v>
      </c>
      <c r="L25" s="92" t="inlineStr">
        <is>
          <t>Sometimes I don’t know what the dish is.</t>
        </is>
      </c>
    </row>
    <row r="26">
      <c r="A26" s="92" t="inlineStr">
        <is>
          <t>S025</t>
        </is>
      </c>
      <c r="B26" s="92" t="inlineStr">
        <is>
          <t>Secondary school</t>
        </is>
      </c>
      <c r="C26" s="92" t="inlineStr">
        <is>
          <t>Sometimes</t>
        </is>
      </c>
      <c r="D26" s="92" t="inlineStr">
        <is>
          <t>Ran out of time</t>
        </is>
      </c>
      <c r="E26" s="92" t="inlineStr">
        <is>
          <t>Yes</t>
        </is>
      </c>
      <c r="F26" s="92" t="inlineStr">
        <is>
          <t>No</t>
        </is>
      </c>
      <c r="G26" s="92" t="n">
        <v>3</v>
      </c>
      <c r="H26" s="92" t="inlineStr">
        <is>
          <t>Food groups</t>
        </is>
      </c>
      <c r="I26" s="92" t="n">
        <v>5</v>
      </c>
      <c r="J26" s="92" t="n">
        <v>4</v>
      </c>
      <c r="K26" s="92" t="n">
        <v>5</v>
      </c>
      <c r="L26" s="92" t="inlineStr"/>
    </row>
    <row r="27">
      <c r="A27" s="92" t="inlineStr">
        <is>
          <t>S026</t>
        </is>
      </c>
      <c r="B27" s="92" t="inlineStr">
        <is>
          <t>Secondary school</t>
        </is>
      </c>
      <c r="C27" s="92" t="inlineStr">
        <is>
          <t>Sometimes</t>
        </is>
      </c>
      <c r="D27" s="92" t="inlineStr">
        <is>
          <t>Portion too big</t>
        </is>
      </c>
      <c r="E27" s="92" t="inlineStr">
        <is>
          <t>No</t>
        </is>
      </c>
      <c r="F27" s="92" t="inlineStr">
        <is>
          <t>Sometimes</t>
        </is>
      </c>
      <c r="G27" s="92" t="n">
        <v>4</v>
      </c>
      <c r="H27" s="92" t="inlineStr">
        <is>
          <t>Food groups</t>
        </is>
      </c>
      <c r="I27" s="92" t="n">
        <v>5</v>
      </c>
      <c r="J27" s="92" t="n">
        <v>3</v>
      </c>
      <c r="K27" s="92" t="n">
        <v>3</v>
      </c>
      <c r="L27" s="92" t="inlineStr"/>
    </row>
    <row r="28">
      <c r="A28" s="92" t="inlineStr">
        <is>
          <t>S027</t>
        </is>
      </c>
      <c r="B28" s="92" t="inlineStr">
        <is>
          <t>Secondary school</t>
        </is>
      </c>
      <c r="C28" s="92" t="inlineStr">
        <is>
          <t>Sometimes</t>
        </is>
      </c>
      <c r="D28" s="92" t="inlineStr">
        <is>
          <t>Don’t like the taste</t>
        </is>
      </c>
      <c r="E28" s="92" t="inlineStr">
        <is>
          <t>Maybe</t>
        </is>
      </c>
      <c r="F28" s="92" t="inlineStr">
        <is>
          <t>Sometimes</t>
        </is>
      </c>
      <c r="G28" s="92" t="n">
        <v>5</v>
      </c>
      <c r="H28" s="92" t="inlineStr">
        <is>
          <t>Both</t>
        </is>
      </c>
      <c r="I28" s="92" t="n">
        <v>5</v>
      </c>
      <c r="J28" s="92" t="n">
        <v>3</v>
      </c>
      <c r="K28" s="92" t="n">
        <v>5</v>
      </c>
      <c r="L28" s="92" t="inlineStr"/>
    </row>
    <row r="29">
      <c r="A29" s="92" t="inlineStr">
        <is>
          <t>S028</t>
        </is>
      </c>
      <c r="B29" s="92" t="inlineStr">
        <is>
          <t>University</t>
        </is>
      </c>
      <c r="C29" s="92" t="inlineStr">
        <is>
          <t>Never</t>
        </is>
      </c>
      <c r="D29" s="92" t="inlineStr">
        <is>
          <t>Don’t like the taste</t>
        </is>
      </c>
      <c r="E29" s="92" t="inlineStr">
        <is>
          <t>Maybe</t>
        </is>
      </c>
      <c r="F29" s="92" t="inlineStr">
        <is>
          <t>No</t>
        </is>
      </c>
      <c r="G29" s="92" t="n">
        <v>4</v>
      </c>
      <c r="H29" s="92" t="inlineStr">
        <is>
          <t>Both</t>
        </is>
      </c>
      <c r="I29" s="92" t="n">
        <v>3</v>
      </c>
      <c r="J29" s="92" t="n">
        <v>5</v>
      </c>
      <c r="K29" s="92" t="n">
        <v>4</v>
      </c>
      <c r="L29" s="92" t="inlineStr">
        <is>
          <t>A pet game would be fun if it is not too childish.</t>
        </is>
      </c>
    </row>
    <row r="30">
      <c r="A30" s="92" t="inlineStr">
        <is>
          <t>S029</t>
        </is>
      </c>
      <c r="B30" s="92" t="inlineStr">
        <is>
          <t>University</t>
        </is>
      </c>
      <c r="C30" s="92" t="inlineStr">
        <is>
          <t>Rarely</t>
        </is>
      </c>
      <c r="D30" s="92" t="inlineStr">
        <is>
          <t>Portion too big</t>
        </is>
      </c>
      <c r="E30" s="92" t="inlineStr">
        <is>
          <t>Maybe</t>
        </is>
      </c>
      <c r="F30" s="92" t="inlineStr">
        <is>
          <t>No</t>
        </is>
      </c>
      <c r="G30" s="92" t="n">
        <v>3</v>
      </c>
      <c r="H30" s="92" t="inlineStr">
        <is>
          <t>Neither</t>
        </is>
      </c>
      <c r="I30" s="92" t="n">
        <v>5</v>
      </c>
      <c r="J30" s="92" t="n">
        <v>4</v>
      </c>
      <c r="K30" s="92" t="n">
        <v>3</v>
      </c>
      <c r="L30" s="92" t="inlineStr"/>
    </row>
    <row r="31">
      <c r="A31" s="92" t="inlineStr">
        <is>
          <t>S030</t>
        </is>
      </c>
      <c r="B31" s="92" t="inlineStr">
        <is>
          <t>Secondary school</t>
        </is>
      </c>
      <c r="C31" s="92" t="inlineStr">
        <is>
          <t>Rarely</t>
        </is>
      </c>
      <c r="D31" s="92" t="inlineStr">
        <is>
          <t>Not hungry</t>
        </is>
      </c>
      <c r="E31" s="92" t="inlineStr">
        <is>
          <t>Maybe</t>
        </is>
      </c>
      <c r="F31" s="92" t="inlineStr">
        <is>
          <t>Yes</t>
        </is>
      </c>
      <c r="G31" s="92" t="n">
        <v>3</v>
      </c>
      <c r="H31" s="92" t="inlineStr">
        <is>
          <t>Food groups</t>
        </is>
      </c>
      <c r="I31" s="92" t="n">
        <v>3</v>
      </c>
      <c r="J31" s="92" t="n">
        <v>3</v>
      </c>
      <c r="K31" s="92" t="n">
        <v>3</v>
      </c>
      <c r="L31" s="92" t="inlineStr"/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B9C0BB"/>
    <outlinePr summaryBelow="1" summaryRight="1"/>
    <pageSetUpPr/>
  </sheetPr>
  <dimension ref="A1:L9"/>
  <sheetViews>
    <sheetView showGridLines="0"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</cols>
  <sheetData>
    <row r="1">
      <c r="A1" s="91" t="inlineStr">
        <is>
          <t>ID</t>
        </is>
      </c>
      <c r="B1" s="91" t="inlineStr">
        <is>
          <t>K1</t>
        </is>
      </c>
      <c r="C1" s="91" t="inlineStr">
        <is>
          <t>K2</t>
        </is>
      </c>
      <c r="D1" s="91" t="inlineStr">
        <is>
          <t>K3</t>
        </is>
      </c>
      <c r="E1" s="91" t="inlineStr">
        <is>
          <t>K4</t>
        </is>
      </c>
      <c r="F1" s="91" t="inlineStr">
        <is>
          <t>K5</t>
        </is>
      </c>
      <c r="G1" s="91" t="inlineStr">
        <is>
          <t>K6</t>
        </is>
      </c>
      <c r="H1" s="91" t="inlineStr">
        <is>
          <t>K7</t>
        </is>
      </c>
      <c r="I1" s="91" t="inlineStr">
        <is>
          <t>K8</t>
        </is>
      </c>
      <c r="J1" s="91" t="inlineStr">
        <is>
          <t>K9</t>
        </is>
      </c>
      <c r="K1" s="91" t="inlineStr">
        <is>
          <t>K10</t>
        </is>
      </c>
      <c r="L1" s="91" t="inlineStr">
        <is>
          <t>K11</t>
        </is>
      </c>
    </row>
    <row r="2">
      <c r="A2" s="92" t="inlineStr">
        <is>
          <t>K001</t>
        </is>
      </c>
      <c r="B2" s="92" t="inlineStr">
        <is>
          <t>Kitchen assistant</t>
        </is>
      </c>
      <c r="C2" s="92" t="inlineStr">
        <is>
          <t>Headcount × standard portion</t>
        </is>
      </c>
      <c r="D2" s="92" t="n">
        <v>29</v>
      </c>
      <c r="E2" s="92" t="inlineStr">
        <is>
          <t>Roughly</t>
        </is>
      </c>
      <c r="F2" s="92" t="inlineStr">
        <is>
          <t>Several times a week</t>
        </is>
      </c>
      <c r="G2" s="92" t="n">
        <v>5</v>
      </c>
      <c r="H2" s="92" t="n">
        <v>4</v>
      </c>
      <c r="I2" s="92" t="n">
        <v>3</v>
      </c>
      <c r="J2" s="92" t="n">
        <v>61</v>
      </c>
      <c r="K2" s="92" t="n">
        <v>4</v>
      </c>
      <c r="L2" s="92" t="inlineStr"/>
    </row>
    <row r="3">
      <c r="A3" s="92" t="inlineStr">
        <is>
          <t>K002</t>
        </is>
      </c>
      <c r="B3" s="92" t="inlineStr">
        <is>
          <t>Cook</t>
        </is>
      </c>
      <c r="C3" s="92" t="inlineStr">
        <is>
          <t>Previous day’s leftovers</t>
        </is>
      </c>
      <c r="D3" s="92" t="n">
        <v>23</v>
      </c>
      <c r="E3" s="92" t="inlineStr">
        <is>
          <t>Roughly</t>
        </is>
      </c>
      <c r="F3" s="92" t="inlineStr">
        <is>
          <t>Several times a week</t>
        </is>
      </c>
      <c r="G3" s="92" t="n">
        <v>4</v>
      </c>
      <c r="H3" s="92" t="n">
        <v>5</v>
      </c>
      <c r="I3" s="92" t="n">
        <v>3</v>
      </c>
      <c r="J3" s="92" t="n">
        <v>41</v>
      </c>
      <c r="K3" s="92" t="n">
        <v>3</v>
      </c>
      <c r="L3" s="92" t="inlineStr"/>
    </row>
    <row r="4">
      <c r="A4" s="92" t="inlineStr">
        <is>
          <t>K003</t>
        </is>
      </c>
      <c r="B4" s="92" t="inlineStr">
        <is>
          <t>Canteen operator</t>
        </is>
      </c>
      <c r="C4" s="92" t="inlineStr">
        <is>
          <t>Previous day’s leftovers</t>
        </is>
      </c>
      <c r="D4" s="92" t="n">
        <v>26</v>
      </c>
      <c r="E4" s="92" t="inlineStr">
        <is>
          <t>No</t>
        </is>
      </c>
      <c r="F4" s="92" t="inlineStr">
        <is>
          <t>Weekly</t>
        </is>
      </c>
      <c r="G4" s="92" t="n">
        <v>3</v>
      </c>
      <c r="H4" s="92" t="n">
        <v>4</v>
      </c>
      <c r="I4" s="92" t="n">
        <v>3</v>
      </c>
      <c r="J4" s="92" t="n">
        <v>10</v>
      </c>
      <c r="K4" s="92" t="n">
        <v>4</v>
      </c>
      <c r="L4" s="92" t="inlineStr"/>
    </row>
    <row r="5">
      <c r="A5" s="92" t="inlineStr">
        <is>
          <t>K004</t>
        </is>
      </c>
      <c r="B5" s="92" t="inlineStr">
        <is>
          <t>Cook</t>
        </is>
      </c>
      <c r="C5" s="92" t="inlineStr">
        <is>
          <t>Headcount × standard portion</t>
        </is>
      </c>
      <c r="D5" s="92" t="n">
        <v>19</v>
      </c>
      <c r="E5" s="92" t="inlineStr">
        <is>
          <t>Roughly</t>
        </is>
      </c>
      <c r="F5" s="92" t="inlineStr">
        <is>
          <t>Weekly</t>
        </is>
      </c>
      <c r="G5" s="92" t="n">
        <v>4</v>
      </c>
      <c r="H5" s="92" t="n">
        <v>5</v>
      </c>
      <c r="I5" s="92" t="n">
        <v>5</v>
      </c>
      <c r="J5" s="92" t="n">
        <v>18</v>
      </c>
      <c r="K5" s="92" t="n">
        <v>3</v>
      </c>
      <c r="L5" s="92" t="inlineStr"/>
    </row>
    <row r="6">
      <c r="A6" s="92" t="inlineStr">
        <is>
          <t>K005</t>
        </is>
      </c>
      <c r="B6" s="92" t="inlineStr">
        <is>
          <t>Canteen operator</t>
        </is>
      </c>
      <c r="C6" s="92" t="inlineStr">
        <is>
          <t>Written records</t>
        </is>
      </c>
      <c r="D6" s="92" t="n">
        <v>21</v>
      </c>
      <c r="E6" s="92" t="inlineStr">
        <is>
          <t>Roughly</t>
        </is>
      </c>
      <c r="F6" s="92" t="inlineStr">
        <is>
          <t>Never</t>
        </is>
      </c>
      <c r="G6" s="92" t="n">
        <v>4</v>
      </c>
      <c r="H6" s="92" t="n">
        <v>5</v>
      </c>
      <c r="I6" s="92" t="n">
        <v>4</v>
      </c>
      <c r="J6" s="92" t="n">
        <v>24</v>
      </c>
      <c r="K6" s="92" t="n">
        <v>5</v>
      </c>
      <c r="L6" s="92" t="inlineStr">
        <is>
          <t>We cook the same amount every day regardless of attendance.</t>
        </is>
      </c>
    </row>
    <row r="7">
      <c r="A7" s="92" t="inlineStr">
        <is>
          <t>K006</t>
        </is>
      </c>
      <c r="B7" s="92" t="inlineStr">
        <is>
          <t>Kitchen assistant</t>
        </is>
      </c>
      <c r="C7" s="92" t="inlineStr">
        <is>
          <t>Headcount × standard portion</t>
        </is>
      </c>
      <c r="D7" s="92" t="n">
        <v>22</v>
      </c>
      <c r="E7" s="92" t="inlineStr">
        <is>
          <t>Roughly</t>
        </is>
      </c>
      <c r="F7" s="92" t="inlineStr">
        <is>
          <t>Weekly</t>
        </is>
      </c>
      <c r="G7" s="92" t="n">
        <v>3</v>
      </c>
      <c r="H7" s="92" t="n">
        <v>5</v>
      </c>
      <c r="I7" s="92" t="n">
        <v>3</v>
      </c>
      <c r="J7" s="92" t="n">
        <v>33</v>
      </c>
      <c r="K7" s="92" t="n">
        <v>4</v>
      </c>
      <c r="L7" s="92" t="inlineStr"/>
    </row>
    <row r="8">
      <c r="A8" s="92" t="inlineStr">
        <is>
          <t>K007</t>
        </is>
      </c>
      <c r="B8" s="92" t="inlineStr">
        <is>
          <t>Canteen operator</t>
        </is>
      </c>
      <c r="C8" s="92" t="inlineStr">
        <is>
          <t>Headcount × standard portion</t>
        </is>
      </c>
      <c r="D8" s="92" t="n">
        <v>25</v>
      </c>
      <c r="E8" s="92" t="inlineStr">
        <is>
          <t>Yes, accurately</t>
        </is>
      </c>
      <c r="F8" s="92" t="inlineStr">
        <is>
          <t>Weekly</t>
        </is>
      </c>
      <c r="G8" s="92" t="n">
        <v>4</v>
      </c>
      <c r="H8" s="92" t="n">
        <v>5</v>
      </c>
      <c r="I8" s="92" t="n">
        <v>5</v>
      </c>
      <c r="J8" s="92" t="n">
        <v>45</v>
      </c>
      <c r="K8" s="92" t="n">
        <v>2</v>
      </c>
      <c r="L8" s="92" t="inlineStr"/>
    </row>
    <row r="9">
      <c r="A9" s="92" t="inlineStr">
        <is>
          <t>K008</t>
        </is>
      </c>
      <c r="B9" s="92" t="inlineStr">
        <is>
          <t>Canteen operator</t>
        </is>
      </c>
      <c r="C9" s="92" t="inlineStr">
        <is>
          <t>Headcount × standard portion</t>
        </is>
      </c>
      <c r="D9" s="92" t="n">
        <v>13</v>
      </c>
      <c r="E9" s="92" t="inlineStr">
        <is>
          <t>Roughly</t>
        </is>
      </c>
      <c r="F9" s="92" t="inlineStr">
        <is>
          <t>Several times a week</t>
        </is>
      </c>
      <c r="G9" s="92" t="n">
        <v>5</v>
      </c>
      <c r="H9" s="92" t="n">
        <v>5</v>
      </c>
      <c r="I9" s="92" t="n">
        <v>3</v>
      </c>
      <c r="J9" s="92" t="n">
        <v>25</v>
      </c>
      <c r="K9" s="92" t="n">
        <v>3</v>
      </c>
      <c r="L9" s="92" t="inlineStr"/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B9C0BB"/>
    <outlinePr summaryBelow="1" summaryRight="1"/>
    <pageSetUpPr/>
  </sheetPr>
  <dimension ref="A1:K7"/>
  <sheetViews>
    <sheetView showGridLines="0"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>
      <c r="A1" s="91" t="inlineStr">
        <is>
          <t>ID</t>
        </is>
      </c>
      <c r="B1" s="91" t="inlineStr">
        <is>
          <t>H1</t>
        </is>
      </c>
      <c r="C1" s="91" t="inlineStr">
        <is>
          <t>H2</t>
        </is>
      </c>
      <c r="D1" s="91" t="inlineStr">
        <is>
          <t>H3</t>
        </is>
      </c>
      <c r="E1" s="91" t="inlineStr">
        <is>
          <t>H4</t>
        </is>
      </c>
      <c r="F1" s="91" t="inlineStr">
        <is>
          <t>H5</t>
        </is>
      </c>
      <c r="G1" s="91" t="inlineStr">
        <is>
          <t>H6</t>
        </is>
      </c>
      <c r="H1" s="91" t="inlineStr">
        <is>
          <t>H7</t>
        </is>
      </c>
      <c r="I1" s="91" t="inlineStr">
        <is>
          <t>H8</t>
        </is>
      </c>
      <c r="J1" s="91" t="inlineStr">
        <is>
          <t>H9</t>
        </is>
      </c>
      <c r="K1" s="91" t="inlineStr">
        <is>
          <t>H10</t>
        </is>
      </c>
    </row>
    <row r="2">
      <c r="A2" s="92" t="inlineStr">
        <is>
          <t>H001</t>
        </is>
      </c>
      <c r="B2" s="92" t="inlineStr">
        <is>
          <t>Nurse</t>
        </is>
      </c>
      <c r="C2" s="92" t="inlineStr">
        <is>
          <t>Food charts</t>
        </is>
      </c>
      <c r="D2" s="92" t="n">
        <v>2</v>
      </c>
      <c r="E2" s="92" t="n">
        <v>32</v>
      </c>
      <c r="F2" s="92" t="inlineStr">
        <is>
          <t>After 4+ days</t>
        </is>
      </c>
      <c r="G2" s="92" t="inlineStr">
        <is>
          <t>Poor appetite</t>
        </is>
      </c>
      <c r="H2" s="92" t="n">
        <v>5</v>
      </c>
      <c r="I2" s="92" t="n">
        <v>5</v>
      </c>
      <c r="J2" s="92" t="inlineStr">
        <is>
          <t>Yes</t>
        </is>
      </c>
      <c r="K2" s="92" t="inlineStr"/>
    </row>
    <row r="3">
      <c r="A3" s="92" t="inlineStr">
        <is>
          <t>H002</t>
        </is>
      </c>
      <c r="B3" s="92" t="inlineStr">
        <is>
          <t>Dietitian</t>
        </is>
      </c>
      <c r="C3" s="92" t="inlineStr">
        <is>
          <t>Food charts</t>
        </is>
      </c>
      <c r="D3" s="92" t="n">
        <v>1</v>
      </c>
      <c r="E3" s="92" t="n">
        <v>37</v>
      </c>
      <c r="F3" s="92" t="inlineStr">
        <is>
          <t>Often missed</t>
        </is>
      </c>
      <c r="G3" s="92" t="inlineStr">
        <is>
          <t>Too tired</t>
        </is>
      </c>
      <c r="H3" s="92" t="n">
        <v>5</v>
      </c>
      <c r="I3" s="92" t="n">
        <v>5</v>
      </c>
      <c r="J3" s="92" t="inlineStr">
        <is>
          <t>Yes</t>
        </is>
      </c>
      <c r="K3" s="92" t="inlineStr"/>
    </row>
    <row r="4">
      <c r="A4" s="92" t="inlineStr">
        <is>
          <t>H003</t>
        </is>
      </c>
      <c r="B4" s="92" t="inlineStr">
        <is>
          <t>Nurse</t>
        </is>
      </c>
      <c r="C4" s="92" t="inlineStr">
        <is>
          <t>Food charts</t>
        </is>
      </c>
      <c r="D4" s="92" t="n">
        <v>4</v>
      </c>
      <c r="E4" s="92" t="n">
        <v>15</v>
      </c>
      <c r="F4" s="92" t="inlineStr">
        <is>
          <t>Same day</t>
        </is>
      </c>
      <c r="G4" s="92" t="inlineStr">
        <is>
          <t>Pain or nausea</t>
        </is>
      </c>
      <c r="H4" s="92" t="n">
        <v>4</v>
      </c>
      <c r="I4" s="92" t="n">
        <v>1</v>
      </c>
      <c r="J4" s="92" t="inlineStr">
        <is>
          <t>Maybe</t>
        </is>
      </c>
      <c r="K4" s="92" t="inlineStr">
        <is>
          <t>Patients would like more choice.</t>
        </is>
      </c>
    </row>
    <row r="5">
      <c r="A5" s="92" t="inlineStr">
        <is>
          <t>H004</t>
        </is>
      </c>
      <c r="B5" s="92" t="inlineStr">
        <is>
          <t>Nurse</t>
        </is>
      </c>
      <c r="C5" s="92" t="inlineStr">
        <is>
          <t>Visual estimate</t>
        </is>
      </c>
      <c r="D5" s="92" t="n">
        <v>2</v>
      </c>
      <c r="E5" s="92" t="n">
        <v>43</v>
      </c>
      <c r="F5" s="92" t="inlineStr">
        <is>
          <t>Same day</t>
        </is>
      </c>
      <c r="G5" s="92" t="inlineStr">
        <is>
          <t>Poor appetite</t>
        </is>
      </c>
      <c r="H5" s="92" t="n">
        <v>4</v>
      </c>
      <c r="I5" s="92" t="n">
        <v>5</v>
      </c>
      <c r="J5" s="92" t="inlineStr">
        <is>
          <t>Maybe</t>
        </is>
      </c>
      <c r="K5" s="92" t="inlineStr"/>
    </row>
    <row r="6">
      <c r="A6" s="92" t="inlineStr">
        <is>
          <t>H005</t>
        </is>
      </c>
      <c r="B6" s="92" t="inlineStr">
        <is>
          <t>Dietitian</t>
        </is>
      </c>
      <c r="C6" s="92" t="inlineStr">
        <is>
          <t>Visual estimate</t>
        </is>
      </c>
      <c r="D6" s="92" t="n">
        <v>2</v>
      </c>
      <c r="E6" s="92" t="n">
        <v>19</v>
      </c>
      <c r="F6" s="92" t="inlineStr">
        <is>
          <t>After 2–3 days</t>
        </is>
      </c>
      <c r="G6" s="92" t="inlineStr">
        <is>
          <t>Poor appetite</t>
        </is>
      </c>
      <c r="H6" s="92" t="n">
        <v>5</v>
      </c>
      <c r="I6" s="92" t="n">
        <v>3</v>
      </c>
      <c r="J6" s="92" t="inlineStr">
        <is>
          <t>Maybe</t>
        </is>
      </c>
      <c r="K6" s="92" t="inlineStr">
        <is>
          <t>We need to know protein intake for wound healing.</t>
        </is>
      </c>
    </row>
    <row r="7">
      <c r="A7" s="92" t="inlineStr">
        <is>
          <t>H006</t>
        </is>
      </c>
      <c r="B7" s="92" t="inlineStr">
        <is>
          <t>Nurse</t>
        </is>
      </c>
      <c r="C7" s="92" t="inlineStr">
        <is>
          <t>Visual estimate</t>
        </is>
      </c>
      <c r="D7" s="92" t="n">
        <v>2</v>
      </c>
      <c r="E7" s="92" t="n">
        <v>42</v>
      </c>
      <c r="F7" s="92" t="inlineStr">
        <is>
          <t>After 4+ days</t>
        </is>
      </c>
      <c r="G7" s="92" t="inlineStr">
        <is>
          <t>Poor appetite</t>
        </is>
      </c>
      <c r="H7" s="92" t="n">
        <v>4</v>
      </c>
      <c r="I7" s="92" t="n">
        <v>4</v>
      </c>
      <c r="J7" s="92" t="inlineStr">
        <is>
          <t>Yes</t>
        </is>
      </c>
      <c r="K7" s="92" t="inlineStr">
        <is>
          <t>Patients would like more choice.</t>
        </is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B9C0BB"/>
    <outlinePr summaryBelow="1" summaryRight="1"/>
    <pageSetUpPr/>
  </sheetPr>
  <dimension ref="A1:K7"/>
  <sheetViews>
    <sheetView showGridLines="0" tabSelected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>
      <c r="A1" s="91" t="inlineStr">
        <is>
          <t>ID</t>
        </is>
      </c>
      <c r="B1" s="91" t="inlineStr">
        <is>
          <t>O1</t>
        </is>
      </c>
      <c r="C1" s="91" t="inlineStr">
        <is>
          <t>O2</t>
        </is>
      </c>
      <c r="D1" s="91" t="inlineStr">
        <is>
          <t>O3</t>
        </is>
      </c>
      <c r="E1" s="91" t="inlineStr">
        <is>
          <t>O4</t>
        </is>
      </c>
      <c r="F1" s="91" t="inlineStr">
        <is>
          <t>O5</t>
        </is>
      </c>
      <c r="G1" s="91" t="inlineStr">
        <is>
          <t>O6</t>
        </is>
      </c>
      <c r="H1" s="91" t="inlineStr">
        <is>
          <t>O7</t>
        </is>
      </c>
      <c r="I1" s="91" t="inlineStr">
        <is>
          <t>O8</t>
        </is>
      </c>
      <c r="J1" s="91" t="inlineStr">
        <is>
          <t>O9</t>
        </is>
      </c>
      <c r="K1" s="91" t="inlineStr">
        <is>
          <t>O10</t>
        </is>
      </c>
    </row>
    <row r="2">
      <c r="A2" s="92" t="inlineStr">
        <is>
          <t>O001</t>
        </is>
      </c>
      <c r="B2" s="92" t="inlineStr">
        <is>
          <t>30–39</t>
        </is>
      </c>
      <c r="C2" s="92" t="n">
        <v>5</v>
      </c>
      <c r="D2" s="92" t="inlineStr">
        <is>
          <t>Eat balanced</t>
        </is>
      </c>
      <c r="E2" s="92" t="n">
        <v>4</v>
      </c>
      <c r="F2" s="92" t="inlineStr">
        <is>
          <t>Often</t>
        </is>
      </c>
      <c r="G2" s="92" t="inlineStr">
        <is>
          <t>Maybe</t>
        </is>
      </c>
      <c r="H2" s="92" t="n">
        <v>5</v>
      </c>
      <c r="I2" s="92" t="inlineStr">
        <is>
          <t>Yes</t>
        </is>
      </c>
      <c r="J2" s="92" t="n">
        <v>8</v>
      </c>
      <c r="K2" s="92" t="inlineStr"/>
    </row>
    <row r="3">
      <c r="A3" s="92" t="inlineStr">
        <is>
          <t>O002</t>
        </is>
      </c>
      <c r="B3" s="92" t="inlineStr">
        <is>
          <t>20–29</t>
        </is>
      </c>
      <c r="C3" s="92" t="n">
        <v>2</v>
      </c>
      <c r="D3" s="92" t="inlineStr">
        <is>
          <t>Steady energy</t>
        </is>
      </c>
      <c r="E3" s="92" t="n">
        <v>4</v>
      </c>
      <c r="F3" s="92" t="inlineStr">
        <is>
          <t>Daily</t>
        </is>
      </c>
      <c r="G3" s="92" t="inlineStr">
        <is>
          <t>Yes</t>
        </is>
      </c>
      <c r="H3" s="92" t="n">
        <v>5</v>
      </c>
      <c r="I3" s="92" t="inlineStr">
        <is>
          <t>Only anonymous totals</t>
        </is>
      </c>
      <c r="J3" s="92" t="n">
        <v>14</v>
      </c>
      <c r="K3" s="92" t="inlineStr"/>
    </row>
    <row r="4">
      <c r="A4" s="92" t="inlineStr">
        <is>
          <t>O003</t>
        </is>
      </c>
      <c r="B4" s="92" t="inlineStr">
        <is>
          <t>30–39</t>
        </is>
      </c>
      <c r="C4" s="92" t="n">
        <v>4</v>
      </c>
      <c r="D4" s="92" t="inlineStr">
        <is>
          <t>Build muscle</t>
        </is>
      </c>
      <c r="E4" s="92" t="n">
        <v>2</v>
      </c>
      <c r="F4" s="92" t="inlineStr">
        <is>
          <t>Sometimes</t>
        </is>
      </c>
      <c r="G4" s="92" t="inlineStr">
        <is>
          <t>Maybe</t>
        </is>
      </c>
      <c r="H4" s="92" t="n">
        <v>3</v>
      </c>
      <c r="I4" s="92" t="inlineStr">
        <is>
          <t>No</t>
        </is>
      </c>
      <c r="J4" s="92" t="n">
        <v>2</v>
      </c>
      <c r="K4" s="92" t="inlineStr"/>
    </row>
    <row r="5">
      <c r="A5" s="92" t="inlineStr">
        <is>
          <t>O004</t>
        </is>
      </c>
      <c r="B5" s="92" t="inlineStr">
        <is>
          <t>20–29</t>
        </is>
      </c>
      <c r="C5" s="92" t="n">
        <v>5</v>
      </c>
      <c r="D5" s="92" t="inlineStr">
        <is>
          <t>None</t>
        </is>
      </c>
      <c r="E5" s="92" t="n">
        <v>1</v>
      </c>
      <c r="F5" s="92" t="inlineStr">
        <is>
          <t>Rarely</t>
        </is>
      </c>
      <c r="G5" s="92" t="inlineStr">
        <is>
          <t>No</t>
        </is>
      </c>
      <c r="H5" s="92" t="n">
        <v>4</v>
      </c>
      <c r="I5" s="92" t="inlineStr">
        <is>
          <t>Only anonymous totals</t>
        </is>
      </c>
      <c r="J5" s="92" t="n">
        <v>7</v>
      </c>
      <c r="K5" s="92" t="inlineStr"/>
    </row>
    <row r="6">
      <c r="A6" s="92" t="inlineStr">
        <is>
          <t>O005</t>
        </is>
      </c>
      <c r="B6" s="92" t="inlineStr">
        <is>
          <t>30–39</t>
        </is>
      </c>
      <c r="C6" s="92" t="n">
        <v>4</v>
      </c>
      <c r="D6" s="92" t="inlineStr">
        <is>
          <t>Eat balanced</t>
        </is>
      </c>
      <c r="E6" s="92" t="n">
        <v>1</v>
      </c>
      <c r="F6" s="92" t="inlineStr">
        <is>
          <t>Daily</t>
        </is>
      </c>
      <c r="G6" s="92" t="inlineStr">
        <is>
          <t>Yes</t>
        </is>
      </c>
      <c r="H6" s="92" t="n">
        <v>4</v>
      </c>
      <c r="I6" s="92" t="inlineStr">
        <is>
          <t>No</t>
        </is>
      </c>
      <c r="J6" s="92" t="n">
        <v>12</v>
      </c>
      <c r="K6" s="92" t="inlineStr">
        <is>
          <t>I don’t want HR to see what I eat.</t>
        </is>
      </c>
    </row>
    <row r="7">
      <c r="A7" s="92" t="inlineStr">
        <is>
          <t>O006</t>
        </is>
      </c>
      <c r="B7" s="92" t="inlineStr">
        <is>
          <t>40–49</t>
        </is>
      </c>
      <c r="C7" s="92" t="n">
        <v>4</v>
      </c>
      <c r="D7" s="92" t="inlineStr">
        <is>
          <t>Steady energy</t>
        </is>
      </c>
      <c r="E7" s="92" t="n">
        <v>3</v>
      </c>
      <c r="F7" s="92" t="inlineStr">
        <is>
          <t>Sometimes</t>
        </is>
      </c>
      <c r="G7" s="92" t="inlineStr">
        <is>
          <t>No</t>
        </is>
      </c>
      <c r="H7" s="92" t="n">
        <v>1</v>
      </c>
      <c r="I7" s="92" t="inlineStr">
        <is>
          <t>Only anonymous totals</t>
        </is>
      </c>
      <c r="J7" s="92" t="n">
        <v>16</v>
      </c>
      <c r="K7" s="92" t="inlineStr">
        <is>
          <t>I don’t want HR to see what I eat.</t>
        </is>
      </c>
    </row>
  </sheetData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F45"/>
  <sheetViews>
    <sheetView showGridLines="0" tabSelected="0" zoomScale="10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18" customWidth="1" min="2" max="2"/>
    <col width="8" customWidth="1" min="3" max="3"/>
    <col width="64" customWidth="1" min="4" max="4"/>
    <col width="14" customWidth="1" min="5" max="5"/>
    <col width="58" customWidth="1" min="6" max="6"/>
  </cols>
  <sheetData>
    <row r="1" ht="32" customHeight="1">
      <c r="B1" s="93" t="inlineStr">
        <is>
          <t>Questionnaires</t>
        </is>
      </c>
    </row>
    <row r="3">
      <c r="B3" s="94" t="inlineStr">
        <is>
          <t>Group</t>
        </is>
      </c>
      <c r="C3" s="94" t="inlineStr">
        <is>
          <t>Code</t>
        </is>
      </c>
      <c r="D3" s="94" t="inlineStr">
        <is>
          <t>Question</t>
        </is>
      </c>
      <c r="E3" s="94" t="inlineStr">
        <is>
          <t>Type</t>
        </is>
      </c>
      <c r="F3" s="94" t="inlineStr">
        <is>
          <t>Answers</t>
        </is>
      </c>
    </row>
    <row r="4">
      <c r="B4" s="95" t="inlineStr">
        <is>
          <t>Students</t>
        </is>
      </c>
      <c r="C4" s="96" t="inlineStr">
        <is>
          <t>S1</t>
        </is>
      </c>
      <c r="D4" s="96" t="inlineStr">
        <is>
          <t>Which are you?</t>
        </is>
      </c>
      <c r="E4" s="96" t="inlineStr">
        <is>
          <t>Single choice</t>
        </is>
      </c>
      <c r="F4" s="96" t="inlineStr">
        <is>
          <t>Secondary school; University</t>
        </is>
      </c>
    </row>
    <row r="5">
      <c r="B5" s="95" t="inlineStr">
        <is>
          <t>Students</t>
        </is>
      </c>
      <c r="C5" s="96" t="inlineStr">
        <is>
          <t>S2</t>
        </is>
      </c>
      <c r="D5" s="96" t="inlineStr">
        <is>
          <t>How often do you leave food on your tray?</t>
        </is>
      </c>
      <c r="E5" s="96" t="inlineStr">
        <is>
          <t>Single choice</t>
        </is>
      </c>
      <c r="F5" s="96" t="inlineStr">
        <is>
          <t>Never; Rarely; Sometimes; Often; Almost always</t>
        </is>
      </c>
    </row>
    <row r="6">
      <c r="B6" s="95" t="inlineStr">
        <is>
          <t>Students</t>
        </is>
      </c>
      <c r="C6" s="96" t="inlineStr">
        <is>
          <t>S3</t>
        </is>
      </c>
      <c r="D6" s="96" t="inlineStr">
        <is>
          <t>What is the main reason you leave food?</t>
        </is>
      </c>
      <c r="E6" s="96" t="inlineStr">
        <is>
          <t>Single choice</t>
        </is>
      </c>
      <c r="F6" s="96" t="inlineStr">
        <is>
          <t>Portion too big; Don’t like the taste; Not hungry; Ran out of time; Didn’t recognise the dish</t>
        </is>
      </c>
    </row>
    <row r="7">
      <c r="B7" s="95" t="inlineStr">
        <is>
          <t>Students</t>
        </is>
      </c>
      <c r="C7" s="96" t="inlineStr">
        <is>
          <t>S4</t>
        </is>
      </c>
      <c r="D7" s="96" t="inlineStr">
        <is>
          <t>Would you take a smaller portion if you could ask for one easily?</t>
        </is>
      </c>
      <c r="E7" s="96" t="inlineStr">
        <is>
          <t>Single choice</t>
        </is>
      </c>
      <c r="F7" s="96" t="inlineStr">
        <is>
          <t>Yes; Maybe; No</t>
        </is>
      </c>
    </row>
    <row r="8">
      <c r="B8" s="95" t="inlineStr">
        <is>
          <t>Students</t>
        </is>
      </c>
      <c r="C8" s="96" t="inlineStr">
        <is>
          <t>S5</t>
        </is>
      </c>
      <c r="D8" s="96" t="inlineStr">
        <is>
          <t>Are you told to finish everything on your plate?</t>
        </is>
      </c>
      <c r="E8" s="96" t="inlineStr">
        <is>
          <t>Single choice</t>
        </is>
      </c>
      <c r="F8" s="96" t="inlineStr">
        <is>
          <t>Yes; Sometimes; No</t>
        </is>
      </c>
    </row>
    <row r="9">
      <c r="B9" s="95" t="inlineStr">
        <is>
          <t>Students</t>
        </is>
      </c>
      <c r="C9" s="96" t="inlineStr">
        <is>
          <t>S6</t>
        </is>
      </c>
      <c r="D9" s="96" t="inlineStr">
        <is>
          <t>I would like to see what I ate at lunch (food groups and nutrients).</t>
        </is>
      </c>
      <c r="E9" s="96" t="inlineStr">
        <is>
          <t>Scale 1–5</t>
        </is>
      </c>
      <c r="F9" s="96" t="inlineStr">
        <is>
          <t>1 = Strongly disagree … 5 = Strongly agree</t>
        </is>
      </c>
    </row>
    <row r="10">
      <c r="B10" s="95" t="inlineStr">
        <is>
          <t>Students</t>
        </is>
      </c>
      <c r="C10" s="96" t="inlineStr">
        <is>
          <t>S7</t>
        </is>
      </c>
      <c r="D10" s="96" t="inlineStr">
        <is>
          <t>Which would you rather see about your lunch?</t>
        </is>
      </c>
      <c r="E10" s="96" t="inlineStr">
        <is>
          <t>Single choice</t>
        </is>
      </c>
      <c r="F10" s="96" t="inlineStr">
        <is>
          <t>Food groups; Calories; Both; Neither</t>
        </is>
      </c>
    </row>
    <row r="11">
      <c r="B11" s="95" t="inlineStr">
        <is>
          <t>Students</t>
        </is>
      </c>
      <c r="C11" s="96" t="inlineStr">
        <is>
          <t>S8</t>
        </is>
      </c>
      <c r="D11" s="96" t="inlineStr">
        <is>
          <t>I would scan my tray before and after lunch if it fed a virtual pet.</t>
        </is>
      </c>
      <c r="E11" s="96" t="inlineStr">
        <is>
          <t>Scale 1–5</t>
        </is>
      </c>
      <c r="F11" s="96" t="inlineStr">
        <is>
          <t>1 = Strongly disagree … 5 = Strongly agree</t>
        </is>
      </c>
    </row>
    <row r="12">
      <c r="B12" s="95" t="inlineStr">
        <is>
          <t>Students</t>
        </is>
      </c>
      <c r="C12" s="96" t="inlineStr">
        <is>
          <t>S9</t>
        </is>
      </c>
      <c r="D12" s="96" t="inlineStr">
        <is>
          <t>A weekly class competition on food waste would motivate me.</t>
        </is>
      </c>
      <c r="E12" s="96" t="inlineStr">
        <is>
          <t>Scale 1–5</t>
        </is>
      </c>
      <c r="F12" s="96" t="inlineStr">
        <is>
          <t>1 = Strongly disagree … 5 = Strongly agree</t>
        </is>
      </c>
    </row>
    <row r="13">
      <c r="B13" s="95" t="inlineStr">
        <is>
          <t>Students</t>
        </is>
      </c>
      <c r="C13" s="96" t="inlineStr">
        <is>
          <t>S10</t>
        </is>
      </c>
      <c r="D13" s="96" t="inlineStr">
        <is>
          <t>I would be comfortable signing in to a scanner with my face.</t>
        </is>
      </c>
      <c r="E13" s="96" t="inlineStr">
        <is>
          <t>Scale 1–5</t>
        </is>
      </c>
      <c r="F13" s="96" t="inlineStr">
        <is>
          <t>1 = Strongly disagree … 5 = Strongly agree</t>
        </is>
      </c>
    </row>
    <row r="14">
      <c r="B14" s="95" t="inlineStr">
        <is>
          <t>Students</t>
        </is>
      </c>
      <c r="C14" s="96" t="inlineStr">
        <is>
          <t>S11</t>
        </is>
      </c>
      <c r="D14" s="96" t="inlineStr">
        <is>
          <t>Anything else about lunch or food waste at your canteen?</t>
        </is>
      </c>
      <c r="E14" s="96" t="inlineStr">
        <is>
          <t>Open</t>
        </is>
      </c>
      <c r="F14" s="96" t="inlineStr">
        <is>
          <t>Free text</t>
        </is>
      </c>
    </row>
    <row r="15">
      <c r="B15" s="97" t="inlineStr">
        <is>
          <t>Kitchen staff</t>
        </is>
      </c>
      <c r="C15" s="96" t="inlineStr">
        <is>
          <t>K1</t>
        </is>
      </c>
      <c r="D15" s="96" t="inlineStr">
        <is>
          <t>What is your role?</t>
        </is>
      </c>
      <c r="E15" s="96" t="inlineStr">
        <is>
          <t>Single choice</t>
        </is>
      </c>
      <c r="F15" s="96" t="inlineStr">
        <is>
          <t>Canteen operator; Cook; Kitchen assistant</t>
        </is>
      </c>
    </row>
    <row r="16">
      <c r="B16" s="97" t="inlineStr">
        <is>
          <t>Kitchen staff</t>
        </is>
      </c>
      <c r="C16" s="96" t="inlineStr">
        <is>
          <t>K2</t>
        </is>
      </c>
      <c r="D16" s="96" t="inlineStr">
        <is>
          <t>How do you mainly decide how much to cook each day?</t>
        </is>
      </c>
      <c r="E16" s="96" t="inlineStr">
        <is>
          <t>Single choice</t>
        </is>
      </c>
      <c r="F16" s="96" t="inlineStr">
        <is>
          <t>Past experience; Headcount × standard portion; Previous day’s leftovers; Written records</t>
        </is>
      </c>
    </row>
    <row r="17">
      <c r="B17" s="97" t="inlineStr">
        <is>
          <t>Kitchen staff</t>
        </is>
      </c>
      <c r="C17" s="96" t="inlineStr">
        <is>
          <t>K3</t>
        </is>
      </c>
      <c r="D17" s="96" t="inlineStr">
        <is>
          <t>Roughly what percentage of the food you cook is thrown away on a typical day?</t>
        </is>
      </c>
      <c r="E17" s="96" t="inlineStr">
        <is>
          <t>Number</t>
        </is>
      </c>
      <c r="F17" s="96" t="inlineStr">
        <is>
          <t>Number</t>
        </is>
      </c>
    </row>
    <row r="18">
      <c r="B18" s="97" t="inlineStr">
        <is>
          <t>Kitchen staff</t>
        </is>
      </c>
      <c r="C18" s="96" t="inlineStr">
        <is>
          <t>K4</t>
        </is>
      </c>
      <c r="D18" s="96" t="inlineStr">
        <is>
          <t>Do you know which dishes come back on trays most?</t>
        </is>
      </c>
      <c r="E18" s="96" t="inlineStr">
        <is>
          <t>Single choice</t>
        </is>
      </c>
      <c r="F18" s="96" t="inlineStr">
        <is>
          <t>Yes, accurately; Roughly; No</t>
        </is>
      </c>
    </row>
    <row r="19">
      <c r="B19" s="97" t="inlineStr">
        <is>
          <t>Kitchen staff</t>
        </is>
      </c>
      <c r="C19" s="96" t="inlineStr">
        <is>
          <t>K5</t>
        </is>
      </c>
      <c r="D19" s="96" t="inlineStr">
        <is>
          <t>How often do you prepare more food than is eaten?</t>
        </is>
      </c>
      <c r="E19" s="96" t="inlineStr">
        <is>
          <t>Single choice</t>
        </is>
      </c>
      <c r="F19" s="96" t="inlineStr">
        <is>
          <t>Never; Rarely; Weekly; Several times a week; Daily</t>
        </is>
      </c>
    </row>
    <row r="20">
      <c r="B20" s="97" t="inlineStr">
        <is>
          <t>Kitchen staff</t>
        </is>
      </c>
      <c r="C20" s="96" t="inlineStr">
        <is>
          <t>K6</t>
        </is>
      </c>
      <c r="D20" s="96" t="inlineStr">
        <is>
          <t>A suggested order for tomorrow, based on what was eaten, would be useful.</t>
        </is>
      </c>
      <c r="E20" s="96" t="inlineStr">
        <is>
          <t>Scale 1–5</t>
        </is>
      </c>
      <c r="F20" s="96" t="inlineStr">
        <is>
          <t>1 = Not useful … 5 = Very useful</t>
        </is>
      </c>
    </row>
    <row r="21">
      <c r="B21" s="97" t="inlineStr">
        <is>
          <t>Kitchen staff</t>
        </is>
      </c>
      <c r="C21" s="96" t="inlineStr">
        <is>
          <t>K7</t>
        </is>
      </c>
      <c r="D21" s="96" t="inlineStr">
        <is>
          <t>Seeing waste broken down by dish would be useful.</t>
        </is>
      </c>
      <c r="E21" s="96" t="inlineStr">
        <is>
          <t>Scale 1–5</t>
        </is>
      </c>
      <c r="F21" s="96" t="inlineStr">
        <is>
          <t>1 = Not useful … 5 = Very useful</t>
        </is>
      </c>
    </row>
    <row r="22">
      <c r="B22" s="97" t="inlineStr">
        <is>
          <t>Kitchen staff</t>
        </is>
      </c>
      <c r="C22" s="96" t="inlineStr">
        <is>
          <t>K8</t>
        </is>
      </c>
      <c r="D22" s="96" t="inlineStr">
        <is>
          <t>A monthly carbon report would be useful.</t>
        </is>
      </c>
      <c r="E22" s="96" t="inlineStr">
        <is>
          <t>Scale 1–5</t>
        </is>
      </c>
      <c r="F22" s="96" t="inlineStr">
        <is>
          <t>1 = Not useful … 5 = Very useful</t>
        </is>
      </c>
    </row>
    <row r="23">
      <c r="B23" s="97" t="inlineStr">
        <is>
          <t>Kitchen staff</t>
        </is>
      </c>
      <c r="C23" s="96" t="inlineStr">
        <is>
          <t>K9</t>
        </is>
      </c>
      <c r="D23" s="96" t="inlineStr">
        <is>
          <t>How many minutes a day do you spend planning orders and quantities?</t>
        </is>
      </c>
      <c r="E23" s="96" t="inlineStr">
        <is>
          <t>Number</t>
        </is>
      </c>
      <c r="F23" s="96" t="inlineStr">
        <is>
          <t>Number</t>
        </is>
      </c>
    </row>
    <row r="24">
      <c r="B24" s="97" t="inlineStr">
        <is>
          <t>Kitchen staff</t>
        </is>
      </c>
      <c r="C24" s="96" t="inlineStr">
        <is>
          <t>K10</t>
        </is>
      </c>
      <c r="D24" s="96" t="inlineStr">
        <is>
          <t>I am worried a new system would add to my workload.</t>
        </is>
      </c>
      <c r="E24" s="96" t="inlineStr">
        <is>
          <t>Scale 1–5</t>
        </is>
      </c>
      <c r="F24" s="96" t="inlineStr">
        <is>
          <t>1 = Strongly disagree … 5 = Strongly agree</t>
        </is>
      </c>
    </row>
    <row r="25">
      <c r="B25" s="97" t="inlineStr">
        <is>
          <t>Kitchen staff</t>
        </is>
      </c>
      <c r="C25" s="96" t="inlineStr">
        <is>
          <t>K11</t>
        </is>
      </c>
      <c r="D25" s="96" t="inlineStr">
        <is>
          <t>Anything else?</t>
        </is>
      </c>
      <c r="E25" s="96" t="inlineStr">
        <is>
          <t>Open</t>
        </is>
      </c>
      <c r="F25" s="96" t="inlineStr">
        <is>
          <t>Free text</t>
        </is>
      </c>
    </row>
    <row r="26">
      <c r="B26" s="98" t="inlineStr">
        <is>
          <t>Hospital staff</t>
        </is>
      </c>
      <c r="C26" s="96" t="inlineStr">
        <is>
          <t>H1</t>
        </is>
      </c>
      <c r="D26" s="96" t="inlineStr">
        <is>
          <t>What is your role?</t>
        </is>
      </c>
      <c r="E26" s="96" t="inlineStr">
        <is>
          <t>Single choice</t>
        </is>
      </c>
      <c r="F26" s="96" t="inlineStr">
        <is>
          <t>Nurse; Dietitian; Ward manager</t>
        </is>
      </c>
    </row>
    <row r="27">
      <c r="B27" s="98" t="inlineStr">
        <is>
          <t>Hospital staff</t>
        </is>
      </c>
      <c r="C27" s="96" t="inlineStr">
        <is>
          <t>H2</t>
        </is>
      </c>
      <c r="D27" s="96" t="inlineStr">
        <is>
          <t>How is patients’ food intake mainly tracked on your ward?</t>
        </is>
      </c>
      <c r="E27" s="96" t="inlineStr">
        <is>
          <t>Single choice</t>
        </is>
      </c>
      <c r="F27" s="96" t="inlineStr">
        <is>
          <t>Food charts; Visual estimate; Patient report; Not tracked</t>
        </is>
      </c>
    </row>
    <row r="28">
      <c r="B28" s="98" t="inlineStr">
        <is>
          <t>Hospital staff</t>
        </is>
      </c>
      <c r="C28" s="96" t="inlineStr">
        <is>
          <t>H3</t>
        </is>
      </c>
      <c r="D28" s="96" t="inlineStr">
        <is>
          <t>I am confident our intake records are accurate.</t>
        </is>
      </c>
      <c r="E28" s="96" t="inlineStr">
        <is>
          <t>Scale 1–5</t>
        </is>
      </c>
      <c r="F28" s="96" t="inlineStr">
        <is>
          <t>1 = Strongly disagree … 5 = Strongly agree</t>
        </is>
      </c>
    </row>
    <row r="29">
      <c r="B29" s="98" t="inlineStr">
        <is>
          <t>Hospital staff</t>
        </is>
      </c>
      <c r="C29" s="96" t="inlineStr">
        <is>
          <t>H4</t>
        </is>
      </c>
      <c r="D29" s="96" t="inlineStr">
        <is>
          <t>How many minutes per shift do you spend documenting food intake?</t>
        </is>
      </c>
      <c r="E29" s="96" t="inlineStr">
        <is>
          <t>Number</t>
        </is>
      </c>
      <c r="F29" s="96" t="inlineStr">
        <is>
          <t>Number</t>
        </is>
      </c>
    </row>
    <row r="30">
      <c r="B30" s="98" t="inlineStr">
        <is>
          <t>Hospital staff</t>
        </is>
      </c>
      <c r="C30" s="96" t="inlineStr">
        <is>
          <t>H5</t>
        </is>
      </c>
      <c r="D30" s="96" t="inlineStr">
        <is>
          <t>How quickly is a patient who stops eating usually noticed?</t>
        </is>
      </c>
      <c r="E30" s="96" t="inlineStr">
        <is>
          <t>Single choice</t>
        </is>
      </c>
      <c r="F30" s="96" t="inlineStr">
        <is>
          <t>Same day; After 2–3 days; After 4+ days; Often missed</t>
        </is>
      </c>
    </row>
    <row r="31">
      <c r="B31" s="98" t="inlineStr">
        <is>
          <t>Hospital staff</t>
        </is>
      </c>
      <c r="C31" s="96" t="inlineStr">
        <is>
          <t>H6</t>
        </is>
      </c>
      <c r="D31" s="96" t="inlineStr">
        <is>
          <t>What is the most common reason patients leave food?</t>
        </is>
      </c>
      <c r="E31" s="96" t="inlineStr">
        <is>
          <t>Single choice</t>
        </is>
      </c>
      <c r="F31" s="96" t="inlineStr">
        <is>
          <t>Poor appetite; Taste; Portion too big; Too tired; Pain or nausea</t>
        </is>
      </c>
    </row>
    <row r="32">
      <c r="B32" s="98" t="inlineStr">
        <is>
          <t>Hospital staff</t>
        </is>
      </c>
      <c r="C32" s="96" t="inlineStr">
        <is>
          <t>H7</t>
        </is>
      </c>
      <c r="D32" s="96" t="inlineStr">
        <is>
          <t>Automatic intake records for every tray would be useful.</t>
        </is>
      </c>
      <c r="E32" s="96" t="inlineStr">
        <is>
          <t>Scale 1–5</t>
        </is>
      </c>
      <c r="F32" s="96" t="inlineStr">
        <is>
          <t>1 = Not useful … 5 = Very useful</t>
        </is>
      </c>
    </row>
    <row r="33">
      <c r="B33" s="98" t="inlineStr">
        <is>
          <t>Hospital staff</t>
        </is>
      </c>
      <c r="C33" s="96" t="inlineStr">
        <is>
          <t>H8</t>
        </is>
      </c>
      <c r="D33" s="96" t="inlineStr">
        <is>
          <t>An alert that includes the patient’s reason for not eating would be useful.</t>
        </is>
      </c>
      <c r="E33" s="96" t="inlineStr">
        <is>
          <t>Scale 1–5</t>
        </is>
      </c>
      <c r="F33" s="96" t="inlineStr">
        <is>
          <t>1 = Not useful … 5 = Very useful</t>
        </is>
      </c>
    </row>
    <row r="34">
      <c r="B34" s="98" t="inlineStr">
        <is>
          <t>Hospital staff</t>
        </is>
      </c>
      <c r="C34" s="96" t="inlineStr">
        <is>
          <t>H9</t>
        </is>
      </c>
      <c r="D34" s="96" t="inlineStr">
        <is>
          <t>Would patients benefit from choosing their next day’s meals and portion size?</t>
        </is>
      </c>
      <c r="E34" s="96" t="inlineStr">
        <is>
          <t>Single choice</t>
        </is>
      </c>
      <c r="F34" s="96" t="inlineStr">
        <is>
          <t>Yes; Maybe; No</t>
        </is>
      </c>
    </row>
    <row r="35">
      <c r="B35" s="98" t="inlineStr">
        <is>
          <t>Hospital staff</t>
        </is>
      </c>
      <c r="C35" s="96" t="inlineStr">
        <is>
          <t>H10</t>
        </is>
      </c>
      <c r="D35" s="96" t="inlineStr">
        <is>
          <t>Anything else?</t>
        </is>
      </c>
      <c r="E35" s="96" t="inlineStr">
        <is>
          <t>Open</t>
        </is>
      </c>
      <c r="F35" s="96" t="inlineStr">
        <is>
          <t>Free text</t>
        </is>
      </c>
    </row>
    <row r="36">
      <c r="B36" s="99" t="inlineStr">
        <is>
          <t>Office workers</t>
        </is>
      </c>
      <c r="C36" s="96" t="inlineStr">
        <is>
          <t>O1</t>
        </is>
      </c>
      <c r="D36" s="96" t="inlineStr">
        <is>
          <t>Your age group</t>
        </is>
      </c>
      <c r="E36" s="96" t="inlineStr">
        <is>
          <t>Single choice</t>
        </is>
      </c>
      <c r="F36" s="96" t="inlineStr">
        <is>
          <t>20–29; 30–39; 40–49; 50+</t>
        </is>
      </c>
    </row>
    <row r="37">
      <c r="B37" s="99" t="inlineStr">
        <is>
          <t>Office workers</t>
        </is>
      </c>
      <c r="C37" s="96" t="inlineStr">
        <is>
          <t>O2</t>
        </is>
      </c>
      <c r="D37" s="96" t="inlineStr">
        <is>
          <t>How many days a week do you eat at the office canteen?</t>
        </is>
      </c>
      <c r="E37" s="96" t="inlineStr">
        <is>
          <t>Number</t>
        </is>
      </c>
      <c r="F37" s="96" t="inlineStr">
        <is>
          <t>Number</t>
        </is>
      </c>
    </row>
    <row r="38">
      <c r="B38" s="99" t="inlineStr">
        <is>
          <t>Office workers</t>
        </is>
      </c>
      <c r="C38" s="96" t="inlineStr">
        <is>
          <t>O3</t>
        </is>
      </c>
      <c r="D38" s="96" t="inlineStr">
        <is>
          <t>Do you have a health goal for your meals?</t>
        </is>
      </c>
      <c r="E38" s="96" t="inlineStr">
        <is>
          <t>Single choice</t>
        </is>
      </c>
      <c r="F38" s="96" t="inlineStr">
        <is>
          <t>Lose weight; Build muscle; Steady energy; Eat balanced; None</t>
        </is>
      </c>
    </row>
    <row r="39">
      <c r="B39" s="99" t="inlineStr">
        <is>
          <t>Office workers</t>
        </is>
      </c>
      <c r="C39" s="96" t="inlineStr">
        <is>
          <t>O4</t>
        </is>
      </c>
      <c r="D39" s="96" t="inlineStr">
        <is>
          <t>I know the nutrients in my canteen lunch.</t>
        </is>
      </c>
      <c r="E39" s="96" t="inlineStr">
        <is>
          <t>Scale 1–5</t>
        </is>
      </c>
      <c r="F39" s="96" t="inlineStr">
        <is>
          <t>1 = Strongly disagree … 5 = Strongly agree</t>
        </is>
      </c>
    </row>
    <row r="40">
      <c r="B40" s="99" t="inlineStr">
        <is>
          <t>Office workers</t>
        </is>
      </c>
      <c r="C40" s="96" t="inlineStr">
        <is>
          <t>O5</t>
        </is>
      </c>
      <c r="D40" s="96" t="inlineStr">
        <is>
          <t>How often do you feel an energy dip in the afternoon?</t>
        </is>
      </c>
      <c r="E40" s="96" t="inlineStr">
        <is>
          <t>Single choice</t>
        </is>
      </c>
      <c r="F40" s="96" t="inlineStr">
        <is>
          <t>Never; Rarely; Sometimes; Often; Daily</t>
        </is>
      </c>
    </row>
    <row r="41">
      <c r="B41" s="99" t="inlineStr">
        <is>
          <t>Office workers</t>
        </is>
      </c>
      <c r="C41" s="96" t="inlineStr">
        <is>
          <t>O6</t>
        </is>
      </c>
      <c r="D41" s="96" t="inlineStr">
        <is>
          <t>Would you pre-order lunch to skip the queue?</t>
        </is>
      </c>
      <c r="E41" s="96" t="inlineStr">
        <is>
          <t>Single choice</t>
        </is>
      </c>
      <c r="F41" s="96" t="inlineStr">
        <is>
          <t>Yes; Maybe; No</t>
        </is>
      </c>
    </row>
    <row r="42">
      <c r="B42" s="99" t="inlineStr">
        <is>
          <t>Office workers</t>
        </is>
      </c>
      <c r="C42" s="96" t="inlineStr">
        <is>
          <t>O7</t>
        </is>
      </c>
      <c r="D42" s="96" t="inlineStr">
        <is>
          <t>A daily lunch suggestion for my health goal would be useful.</t>
        </is>
      </c>
      <c r="E42" s="96" t="inlineStr">
        <is>
          <t>Scale 1–5</t>
        </is>
      </c>
      <c r="F42" s="96" t="inlineStr">
        <is>
          <t>1 = Not useful … 5 = Very useful</t>
        </is>
      </c>
    </row>
    <row r="43">
      <c r="B43" s="99" t="inlineStr">
        <is>
          <t>Office workers</t>
        </is>
      </c>
      <c r="C43" s="96" t="inlineStr">
        <is>
          <t>O8</t>
        </is>
      </c>
      <c r="D43" s="96" t="inlineStr">
        <is>
          <t>Would you share your meal data with your employer?</t>
        </is>
      </c>
      <c r="E43" s="96" t="inlineStr">
        <is>
          <t>Single choice</t>
        </is>
      </c>
      <c r="F43" s="96" t="inlineStr">
        <is>
          <t>Yes; Only anonymous totals; No</t>
        </is>
      </c>
    </row>
    <row r="44">
      <c r="B44" s="99" t="inlineStr">
        <is>
          <t>Office workers</t>
        </is>
      </c>
      <c r="C44" s="96" t="inlineStr">
        <is>
          <t>O9</t>
        </is>
      </c>
      <c r="D44" s="96" t="inlineStr">
        <is>
          <t>How many minutes do you usually queue at lunch?</t>
        </is>
      </c>
      <c r="E44" s="96" t="inlineStr">
        <is>
          <t>Number</t>
        </is>
      </c>
      <c r="F44" s="96" t="inlineStr">
        <is>
          <t>Number</t>
        </is>
      </c>
    </row>
    <row r="45">
      <c r="B45" s="99" t="inlineStr">
        <is>
          <t>Office workers</t>
        </is>
      </c>
      <c r="C45" s="96" t="inlineStr">
        <is>
          <t>O10</t>
        </is>
      </c>
      <c r="D45" s="96" t="inlineStr">
        <is>
          <t>Anything else?</t>
        </is>
      </c>
      <c r="E45" s="96" t="inlineStr">
        <is>
          <t>Open</t>
        </is>
      </c>
      <c r="F45" s="96" t="inlineStr">
        <is>
          <t>Free text</t>
        </is>
      </c>
    </row>
  </sheetData>
  <mergeCells count="1">
    <mergeCell ref="B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C9"/>
  <sheetViews>
    <sheetView showGridLines="0" tabSelected="0" zoomScale="10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00" customWidth="1" min="3" max="3"/>
  </cols>
  <sheetData>
    <row r="1" ht="32" customHeight="1">
      <c r="B1" s="93" t="inlineStr">
        <is>
          <t>About this workbook</t>
        </is>
      </c>
    </row>
    <row r="3" ht="30" customHeight="1">
      <c r="B3" s="100" t="inlineStr">
        <is>
          <t>Illustrative data</t>
        </is>
      </c>
      <c r="C3" s="101" t="inlineStr">
        <is>
          <t>The responses are sample answers generated with a fixed seed (35) to show how the analysis works. They were not collected from real people. Replace them with real responses before drawing conclusions.</t>
        </is>
      </c>
    </row>
    <row r="4" ht="30" customHeight="1">
      <c r="B4" s="100" t="inlineStr">
        <is>
          <t>Dashboard</t>
        </is>
      </c>
      <c r="C4" s="101" t="inlineStr">
        <is>
          <t>Headline numbers and one chart per group.</t>
        </is>
      </c>
    </row>
    <row r="5" ht="30" customHeight="1">
      <c r="B5" s="100" t="inlineStr">
        <is>
          <t>Key findings</t>
        </is>
      </c>
      <c r="C5" s="101" t="inlineStr">
        <is>
          <t>Findings written as live formulas, each matched to a PlateLoop feature.</t>
        </is>
      </c>
    </row>
    <row r="6" ht="30" customHeight="1">
      <c r="B6" s="100" t="inlineStr">
        <is>
          <t>Group sheets</t>
        </is>
      </c>
      <c r="C6" s="101" t="inlineStr">
        <is>
          <t>Students, Kitchen, Hospital, Office: every question as a table with in-cell bars, plus charts.</t>
        </is>
      </c>
    </row>
    <row r="7" ht="30" customHeight="1">
      <c r="B7" s="100" t="inlineStr">
        <is>
          <t>Data sheets</t>
        </is>
      </c>
      <c r="C7" s="101" t="inlineStr">
        <is>
          <t>One row per respondent (blue text = input). To use real data, paste responses into these tables (same columns, up to row 1000) — every other sheet updates.</t>
        </is>
      </c>
    </row>
    <row r="8" ht="30" customHeight="1">
      <c r="B8" s="100" t="inlineStr">
        <is>
          <t>Questionnaires</t>
        </is>
      </c>
      <c r="C8" s="101" t="inlineStr">
        <is>
          <t>All questions, codes and answer options. Online version: https://8jiwoo.github.io/plateloop/survey/</t>
        </is>
      </c>
    </row>
    <row r="9" ht="30" customHeight="1">
      <c r="B9" s="100" t="inlineStr">
        <is>
          <t>Scale questions</t>
        </is>
      </c>
      <c r="C9" s="101" t="inlineStr">
        <is>
          <t>1 = strongly disagree / not useful … 5 = strongly agree / very useful. "Agree" = share answering 4 or 5.</t>
        </is>
      </c>
    </row>
  </sheetData>
  <mergeCells count="1">
    <mergeCell ref="B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2026-10-01T16:30:16Z</dcterms:created>
  <dcterms:modified xsi:type="dcterms:W3CDTF">2026-10-01T16:30:16Z</dcterms:modified>
</cp:coreProperties>
</file>