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8jiwo\Downloads\plateloop\docs\survey\"/>
    </mc:Choice>
  </mc:AlternateContent>
  <xr:revisionPtr revIDLastSave="0" documentId="13_ncr:1_{00929D20-27B0-4D48-93CB-71F26160B9F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ADME" sheetId="1" r:id="rId1"/>
    <sheet name="Key_Findings" sheetId="2" r:id="rId2"/>
    <sheet name="Questionnaires" sheetId="3" r:id="rId3"/>
    <sheet name="Students_Data" sheetId="4" r:id="rId4"/>
    <sheet name="Kitchen_Data" sheetId="5" r:id="rId5"/>
    <sheet name="Hospital_Data" sheetId="6" r:id="rId6"/>
    <sheet name="Office_Data" sheetId="7" r:id="rId7"/>
    <sheet name="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0" i="8" l="1"/>
  <c r="B419" i="8"/>
  <c r="B418" i="8"/>
  <c r="B417" i="8"/>
  <c r="C6" i="2" s="1"/>
  <c r="D403" i="8"/>
  <c r="C403" i="8"/>
  <c r="B403" i="8"/>
  <c r="D402" i="8"/>
  <c r="C402" i="8"/>
  <c r="B402" i="8"/>
  <c r="B397" i="8"/>
  <c r="B396" i="8"/>
  <c r="B395" i="8"/>
  <c r="B394" i="8"/>
  <c r="B383" i="8"/>
  <c r="B382" i="8"/>
  <c r="C382" i="8" s="1"/>
  <c r="B381" i="8"/>
  <c r="B369" i="8"/>
  <c r="B368" i="8"/>
  <c r="B367" i="8"/>
  <c r="C367" i="8" s="1"/>
  <c r="B355" i="8"/>
  <c r="B354" i="8"/>
  <c r="B353" i="8"/>
  <c r="B352" i="8"/>
  <c r="B351" i="8"/>
  <c r="C351" i="8" s="1"/>
  <c r="B339" i="8"/>
  <c r="B338" i="8"/>
  <c r="B337" i="8"/>
  <c r="B336" i="8"/>
  <c r="B335" i="8"/>
  <c r="C335" i="8" s="1"/>
  <c r="B330" i="8"/>
  <c r="B329" i="8"/>
  <c r="B328" i="8"/>
  <c r="B327" i="8"/>
  <c r="B316" i="8"/>
  <c r="B315" i="8"/>
  <c r="C315" i="8" s="1"/>
  <c r="B314" i="8"/>
  <c r="B313" i="8"/>
  <c r="B309" i="8"/>
  <c r="D295" i="8"/>
  <c r="C295" i="8"/>
  <c r="B295" i="8"/>
  <c r="D294" i="8"/>
  <c r="C294" i="8"/>
  <c r="B294" i="8"/>
  <c r="D293" i="8"/>
  <c r="C293" i="8"/>
  <c r="B293" i="8"/>
  <c r="B281" i="8"/>
  <c r="B280" i="8"/>
  <c r="C280" i="8" s="1"/>
  <c r="B279" i="8"/>
  <c r="B267" i="8"/>
  <c r="B266" i="8"/>
  <c r="B265" i="8"/>
  <c r="B264" i="8"/>
  <c r="B263" i="8"/>
  <c r="C264" i="8" s="1"/>
  <c r="B251" i="8"/>
  <c r="B250" i="8"/>
  <c r="B249" i="8"/>
  <c r="C249" i="8" s="1"/>
  <c r="B248" i="8"/>
  <c r="B243" i="8"/>
  <c r="B242" i="8"/>
  <c r="B241" i="8"/>
  <c r="B240" i="8"/>
  <c r="C11" i="2" s="1"/>
  <c r="B229" i="8"/>
  <c r="B228" i="8"/>
  <c r="B227" i="8"/>
  <c r="B226" i="8"/>
  <c r="C229" i="8" s="1"/>
  <c r="B214" i="8"/>
  <c r="B213" i="8"/>
  <c r="B212" i="8"/>
  <c r="C212" i="8" s="1"/>
  <c r="B208" i="8"/>
  <c r="D194" i="8"/>
  <c r="C194" i="8"/>
  <c r="B194" i="8"/>
  <c r="D193" i="8"/>
  <c r="C193" i="8"/>
  <c r="B193" i="8"/>
  <c r="D192" i="8"/>
  <c r="C192" i="8"/>
  <c r="B192" i="8"/>
  <c r="D191" i="8"/>
  <c r="C191" i="8"/>
  <c r="B191" i="8"/>
  <c r="B186" i="8"/>
  <c r="B185" i="8"/>
  <c r="B184" i="8"/>
  <c r="B183" i="8"/>
  <c r="B172" i="8"/>
  <c r="C172" i="8" s="1"/>
  <c r="B171" i="8"/>
  <c r="B170" i="8"/>
  <c r="C170" i="8" s="1"/>
  <c r="B169" i="8"/>
  <c r="C169" i="8" s="1"/>
  <c r="C168" i="8"/>
  <c r="B168" i="8"/>
  <c r="B156" i="8"/>
  <c r="B155" i="8"/>
  <c r="B154" i="8"/>
  <c r="C154" i="8" s="1"/>
  <c r="B149" i="8"/>
  <c r="B148" i="8"/>
  <c r="B147" i="8"/>
  <c r="B146" i="8"/>
  <c r="B135" i="8"/>
  <c r="B134" i="8"/>
  <c r="B133" i="8"/>
  <c r="B132" i="8"/>
  <c r="C135" i="8" s="1"/>
  <c r="B120" i="8"/>
  <c r="B119" i="8"/>
  <c r="B118" i="8"/>
  <c r="C118" i="8" s="1"/>
  <c r="B114" i="8"/>
  <c r="D100" i="8"/>
  <c r="C100" i="8"/>
  <c r="C7" i="2" s="1"/>
  <c r="B100" i="8"/>
  <c r="D99" i="8"/>
  <c r="C99" i="8"/>
  <c r="B99" i="8"/>
  <c r="D98" i="8"/>
  <c r="C98" i="8"/>
  <c r="B98" i="8"/>
  <c r="D97" i="8"/>
  <c r="C97" i="8"/>
  <c r="B97" i="8"/>
  <c r="B85" i="8"/>
  <c r="B84" i="8"/>
  <c r="B83" i="8"/>
  <c r="C83" i="8" s="1"/>
  <c r="B82" i="8"/>
  <c r="B70" i="8"/>
  <c r="B69" i="8"/>
  <c r="B68" i="8"/>
  <c r="C68" i="8" s="1"/>
  <c r="B56" i="8"/>
  <c r="B55" i="8"/>
  <c r="B54" i="8"/>
  <c r="B42" i="8"/>
  <c r="B41" i="8"/>
  <c r="B40" i="8"/>
  <c r="B39" i="8"/>
  <c r="B38" i="8"/>
  <c r="C38" i="8" s="1"/>
  <c r="B26" i="8"/>
  <c r="B25" i="8"/>
  <c r="B24" i="8"/>
  <c r="B23" i="8"/>
  <c r="C23" i="8" s="1"/>
  <c r="B22" i="8"/>
  <c r="B10" i="8"/>
  <c r="B9" i="8"/>
  <c r="C9" i="8" s="1"/>
  <c r="B5" i="8"/>
  <c r="C39" i="8" l="1"/>
  <c r="C338" i="8"/>
  <c r="C339" i="8"/>
  <c r="C251" i="8"/>
  <c r="C352" i="8"/>
  <c r="C353" i="8"/>
  <c r="C213" i="8"/>
  <c r="C265" i="8"/>
  <c r="C313" i="8"/>
  <c r="C354" i="8"/>
  <c r="C56" i="8"/>
  <c r="C214" i="8"/>
  <c r="C266" i="8"/>
  <c r="C314" i="8"/>
  <c r="C355" i="8"/>
  <c r="C85" i="8"/>
  <c r="C336" i="8"/>
  <c r="C25" i="8"/>
  <c r="C337" i="8"/>
  <c r="C171" i="8"/>
  <c r="C41" i="8"/>
  <c r="C267" i="8"/>
  <c r="C155" i="8"/>
  <c r="C10" i="2"/>
  <c r="C227" i="8"/>
  <c r="C279" i="8"/>
  <c r="C316" i="8"/>
  <c r="C368" i="8"/>
  <c r="C383" i="8"/>
  <c r="C26" i="8"/>
  <c r="C13" i="2"/>
  <c r="C133" i="8"/>
  <c r="C250" i="8"/>
  <c r="C42" i="8"/>
  <c r="C9" i="2"/>
  <c r="C15" i="2"/>
  <c r="C69" i="8"/>
  <c r="C70" i="8"/>
  <c r="C156" i="8"/>
  <c r="C228" i="8"/>
  <c r="C369" i="8"/>
  <c r="C119" i="8"/>
  <c r="C120" i="8"/>
  <c r="C248" i="8"/>
  <c r="C12" i="2" s="1"/>
  <c r="C40" i="8"/>
  <c r="C54" i="8"/>
  <c r="C4" i="2" s="1"/>
  <c r="C10" i="8"/>
  <c r="C24" i="8"/>
  <c r="C84" i="8"/>
  <c r="C281" i="8"/>
  <c r="C381" i="8"/>
  <c r="C16" i="2"/>
  <c r="C132" i="8"/>
  <c r="C8" i="2" s="1"/>
  <c r="C226" i="8"/>
  <c r="C22" i="8"/>
  <c r="C82" i="8"/>
  <c r="C5" i="2" s="1"/>
  <c r="C263" i="8"/>
  <c r="C55" i="8"/>
  <c r="C134" i="8"/>
  <c r="C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Respondent ID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Which are you?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How often do you leave food on your tray?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What is the main reason you leave food?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Would you take a smaller portion if you could ask for one easily?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Are you told to finish everything on your plate?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I would like to see what I ate at lunch (food groups and nutrients).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Which would you rather see about your lunch?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 would scan my tray before and after lunch if it fed a virtual pet.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A weekly class competition on food waste would motivate me.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I would be comfortable signing in to a scanner with my face.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Anything else about lunch or food waste at your canteen?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Respondent ID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What is your role?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How do you mainly decide how much to cook each day?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Roughly what percentage of the food you cook is thrown away on a typical day?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Do you know which dishes come back on trays most?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How often do you prepare more food than is eaten?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A suggested order for tomorrow, based on what was eaten, would be useful.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Seeing waste broken down by dish would be useful.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A monthly carbon report would be useful.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How many minutes a day do you spend planning orders and quantities?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I am worried a new system would add to my workload.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Anything else?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Respondent ID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What is your role?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How is patients’ food intake mainly tracked on your ward?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 am confident our intake records are accurate.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How many minutes per shift do you spend documenting food intake?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How quickly is a patient who stops eating usually noticed?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What is the most common reason patients leave food?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Automatic intake records for every tray would be useful.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An alert that includes the patient’s reason for not eating would be useful.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Would patients benefit from choosing their next day’s meals and portion size?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Anything else?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Respondent ID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Your age group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How many days a week do you eat at the office canteen?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Do you have a health goal for your meals?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I know the nutrients in my canteen lunch.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How often do you feel an energy dip in the afternoon?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Would you pre-order lunch to skip the queue?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A daily lunch suggestion for my health goal would be useful.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Would you share your meal data with your employer?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How many minutes do you usually queue at lunch?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Anything else?</t>
        </r>
      </text>
    </comment>
  </commentList>
</comments>
</file>

<file path=xl/sharedStrings.xml><?xml version="1.0" encoding="utf-8"?>
<sst xmlns="http://schemas.openxmlformats.org/spreadsheetml/2006/main" count="2301" uniqueCount="554">
  <si>
    <t>PlateLoop survey analysis</t>
  </si>
  <si>
    <t>DEMO DATA: every response in this workbook is synthetic (randomly generated) to show how the analysis works. These are NOT real survey results.</t>
  </si>
  <si>
    <t>Sheet</t>
  </si>
  <si>
    <t>What it contains</t>
  </si>
  <si>
    <t>Questionnaires</t>
  </si>
  <si>
    <t>Every question, its code, type and answer options, by group.</t>
  </si>
  <si>
    <t>Students_Data … Office_Data</t>
  </si>
  <si>
    <t>One row per respondent (demo). Blue text = input data. Paste real responses here, same columns.</t>
  </si>
  <si>
    <t>Analysis</t>
  </si>
  <si>
    <t>Counts, shares, averages and segment comparisons. All formulas: they update when the data changes (rows 2–1000).</t>
  </si>
  <si>
    <t>Key_Findings</t>
  </si>
  <si>
    <t>Findings written as formulas from the Analysis sheet, each linked to a PlateLoop feature.</t>
  </si>
  <si>
    <t>Legend</t>
  </si>
  <si>
    <t>Blue text</t>
  </si>
  <si>
    <t>Input data (responses)</t>
  </si>
  <si>
    <t>Black text</t>
  </si>
  <si>
    <t>Formulas</t>
  </si>
  <si>
    <t>Likert questions</t>
  </si>
  <si>
    <t>1 = Strongly disagree / Not useful … 5 = Strongly agree / Very useful. "Agree" = share answering 4 or 5.</t>
  </si>
  <si>
    <t>Demo sample sizes</t>
  </si>
  <si>
    <t>Students: 120, Kitchen: 24, Hospital: 36, Office: 80 (seed 2026).</t>
  </si>
  <si>
    <t>Key findings (DEMO DATA: synthetic responses, not real results)</t>
  </si>
  <si>
    <t>#</t>
  </si>
  <si>
    <t>Group</t>
  </si>
  <si>
    <t>Finding (calculated from the Analysis sheet)</t>
  </si>
  <si>
    <t>What it means for PlateLoop</t>
  </si>
  <si>
    <t>Students</t>
  </si>
  <si>
    <t>The before scan and right-portion rewards in Loopi: a small plate finished counts fully.</t>
  </si>
  <si>
    <t>Loopi shows food groups by default; calories stay optional.</t>
  </si>
  <si>
    <t>Lead with the Loopi pet in schools; emphasise nutrition feedback on campuses.</t>
  </si>
  <si>
    <t>Keep the class-and-number alternative and make face sign-in optional.</t>
  </si>
  <si>
    <t>Kitchen</t>
  </si>
  <si>
    <t>Kitchen dashboard: waste by dish and a forecast from real eating data.</t>
  </si>
  <si>
    <t>Tomorrow’s suggested order saves planning time and cuts over-preparation.</t>
  </si>
  <si>
    <t>Automatic measurement only: no forms or manual entry for kitchen staff.</t>
  </si>
  <si>
    <t>Hospital</t>
  </si>
  <si>
    <t>Loopi Care records every tray automatically.</t>
  </si>
  <si>
    <t>Nurse-station alerts after poor meals, the same day.</t>
  </si>
  <si>
    <t>Loopi Care: per-tray intake and patient meal choice.</t>
  </si>
  <si>
    <t>Office</t>
  </si>
  <si>
    <t>Loopi Work: nutrients per lunch and a 3 pm energy check-in.</t>
  </si>
  <si>
    <t>Pre-ordering in Loopi Work; kitchens cook to orders.</t>
  </si>
  <si>
    <t>Private by default: employers see team totals, never names.</t>
  </si>
  <si>
    <t>Code</t>
  </si>
  <si>
    <t>Question</t>
  </si>
  <si>
    <t>Type</t>
  </si>
  <si>
    <t>Options / scale</t>
  </si>
  <si>
    <t>Students (secondary school and university)</t>
  </si>
  <si>
    <t>S1</t>
  </si>
  <si>
    <t>Which are you?</t>
  </si>
  <si>
    <t>Single choice</t>
  </si>
  <si>
    <t>Secondary school; University</t>
  </si>
  <si>
    <t>S2</t>
  </si>
  <si>
    <t>How often do you leave food on your tray?</t>
  </si>
  <si>
    <t>Never; Rarely; Sometimes; Often; Almost always</t>
  </si>
  <si>
    <t>S3</t>
  </si>
  <si>
    <t>What is the main reason you leave food?</t>
  </si>
  <si>
    <t>Portion too big; Don’t like the taste; Not hungry; Ran out of time; Didn’t recognise the dish</t>
  </si>
  <si>
    <t>S4</t>
  </si>
  <si>
    <t>Would you take a smaller portion if you could ask for one easily?</t>
  </si>
  <si>
    <t>Yes; Maybe; No</t>
  </si>
  <si>
    <t>S5</t>
  </si>
  <si>
    <t>Are you told to finish everything on your plate?</t>
  </si>
  <si>
    <t>Yes; Sometimes; No</t>
  </si>
  <si>
    <t>S6</t>
  </si>
  <si>
    <t>I would like to see what I ate at lunch (food groups and nutrients).</t>
  </si>
  <si>
    <t>Scale 1–5</t>
  </si>
  <si>
    <t>1 = Strongly disagree … 5 = Strongly agree</t>
  </si>
  <si>
    <t>S7</t>
  </si>
  <si>
    <t>Which would you rather see about your lunch?</t>
  </si>
  <si>
    <t>Food groups; Calories; Both; Neither</t>
  </si>
  <si>
    <t>S8</t>
  </si>
  <si>
    <t>I would scan my tray before and after lunch if it fed a virtual pet.</t>
  </si>
  <si>
    <t>S9</t>
  </si>
  <si>
    <t>A weekly class competition on food waste would motivate me.</t>
  </si>
  <si>
    <t>S10</t>
  </si>
  <si>
    <t>I would be comfortable signing in to a scanner with my face.</t>
  </si>
  <si>
    <t>S11</t>
  </si>
  <si>
    <t>Anything else about lunch or food waste at your canteen?</t>
  </si>
  <si>
    <t>Open</t>
  </si>
  <si>
    <t>Free text</t>
  </si>
  <si>
    <t>Canteen and kitchen staff</t>
  </si>
  <si>
    <t>K1</t>
  </si>
  <si>
    <t>What is your role?</t>
  </si>
  <si>
    <t>Canteen operator; Cook; Kitchen assistant</t>
  </si>
  <si>
    <t>K2</t>
  </si>
  <si>
    <t>How do you mainly decide how much to cook each day?</t>
  </si>
  <si>
    <t>Past experience; Headcount × standard portion; Previous day’s leftovers; Written records</t>
  </si>
  <si>
    <t>K3</t>
  </si>
  <si>
    <t>Roughly what percentage of the food you cook is thrown away on a typical day?</t>
  </si>
  <si>
    <t>Number</t>
  </si>
  <si>
    <t>K4</t>
  </si>
  <si>
    <t>Do you know which dishes come back on trays most?</t>
  </si>
  <si>
    <t>Yes, accurately; Roughly; No</t>
  </si>
  <si>
    <t>K5</t>
  </si>
  <si>
    <t>How often do you prepare more food than is eaten?</t>
  </si>
  <si>
    <t>Never; Rarely; Weekly; Several times a week; Daily</t>
  </si>
  <si>
    <t>K6</t>
  </si>
  <si>
    <t>A suggested order for tomorrow, based on what was eaten, would be useful.</t>
  </si>
  <si>
    <t>1 = Not useful … 5 = Very useful</t>
  </si>
  <si>
    <t>K7</t>
  </si>
  <si>
    <t>Seeing waste broken down by dish would be useful.</t>
  </si>
  <si>
    <t>K8</t>
  </si>
  <si>
    <t>A monthly carbon report would be useful.</t>
  </si>
  <si>
    <t>K9</t>
  </si>
  <si>
    <t>How many minutes a day do you spend planning orders and quantities?</t>
  </si>
  <si>
    <t>K10</t>
  </si>
  <si>
    <t>I am worried a new system would add to my workload.</t>
  </si>
  <si>
    <t>K11</t>
  </si>
  <si>
    <t>Anything else?</t>
  </si>
  <si>
    <t>Hospital staff (nurses, dietitians, ward managers)</t>
  </si>
  <si>
    <t>H1</t>
  </si>
  <si>
    <t>Nurse; Dietitian; Ward manager</t>
  </si>
  <si>
    <t>H2</t>
  </si>
  <si>
    <t>How is patients’ food intake mainly tracked on your ward?</t>
  </si>
  <si>
    <t>Food charts; Visual estimate; Patient report; Not tracked</t>
  </si>
  <si>
    <t>H3</t>
  </si>
  <si>
    <t>I am confident our intake records are accurate.</t>
  </si>
  <si>
    <t>H4</t>
  </si>
  <si>
    <t>How many minutes per shift do you spend documenting food intake?</t>
  </si>
  <si>
    <t>H5</t>
  </si>
  <si>
    <t>How quickly is a patient who stops eating usually noticed?</t>
  </si>
  <si>
    <t>Same day; After 2–3 days; After 4+ days; Often missed</t>
  </si>
  <si>
    <t>H6</t>
  </si>
  <si>
    <t>What is the most common reason patients leave food?</t>
  </si>
  <si>
    <t>Poor appetite; Taste; Portion too big; Too tired; Pain or nausea</t>
  </si>
  <si>
    <t>H7</t>
  </si>
  <si>
    <t>Automatic intake records for every tray would be useful.</t>
  </si>
  <si>
    <t>H8</t>
  </si>
  <si>
    <t>An alert that includes the patient’s reason for not eating would be useful.</t>
  </si>
  <si>
    <t>H9</t>
  </si>
  <si>
    <t>Would patients benefit from choosing their next day’s meals and portion size?</t>
  </si>
  <si>
    <t>H10</t>
  </si>
  <si>
    <t>Office workers</t>
  </si>
  <si>
    <t>O1</t>
  </si>
  <si>
    <t>Your age group</t>
  </si>
  <si>
    <t>20–29; 30–39; 40–49; 50+</t>
  </si>
  <si>
    <t>O2</t>
  </si>
  <si>
    <t>How many days a week do you eat at the office canteen?</t>
  </si>
  <si>
    <t>O3</t>
  </si>
  <si>
    <t>Do you have a health goal for your meals?</t>
  </si>
  <si>
    <t>Lose weight; Build muscle; Steady energy; Eat balanced; None</t>
  </si>
  <si>
    <t>O4</t>
  </si>
  <si>
    <t>I know the nutrients in my canteen lunch.</t>
  </si>
  <si>
    <t>O5</t>
  </si>
  <si>
    <t>How often do you feel an energy dip in the afternoon?</t>
  </si>
  <si>
    <t>Never; Rarely; Sometimes; Often; Daily</t>
  </si>
  <si>
    <t>O6</t>
  </si>
  <si>
    <t>Would you pre-order lunch to skip the queue?</t>
  </si>
  <si>
    <t>O7</t>
  </si>
  <si>
    <t>A daily lunch suggestion for my health goal would be useful.</t>
  </si>
  <si>
    <t>O8</t>
  </si>
  <si>
    <t>Would you share your meal data with your employer?</t>
  </si>
  <si>
    <t>Yes; Only anonymous totals; No</t>
  </si>
  <si>
    <t>O9</t>
  </si>
  <si>
    <t>How many minutes do you usually queue at lunch?</t>
  </si>
  <si>
    <t>O10</t>
  </si>
  <si>
    <t>ID</t>
  </si>
  <si>
    <t>S001</t>
  </si>
  <si>
    <t>Secondary school</t>
  </si>
  <si>
    <t>Sometimes</t>
  </si>
  <si>
    <t>Don’t like the taste</t>
  </si>
  <si>
    <t>No</t>
  </si>
  <si>
    <t>Yes</t>
  </si>
  <si>
    <t>Calories</t>
  </si>
  <si>
    <t>S002</t>
  </si>
  <si>
    <t>University</t>
  </si>
  <si>
    <t>Often</t>
  </si>
  <si>
    <t>Both</t>
  </si>
  <si>
    <t>S003</t>
  </si>
  <si>
    <t>Rarely</t>
  </si>
  <si>
    <t>Didn’t recognise the dish</t>
  </si>
  <si>
    <t>I prefer not to use face scanning.</t>
  </si>
  <si>
    <t>S004</t>
  </si>
  <si>
    <t>Not hungry</t>
  </si>
  <si>
    <t>S005</t>
  </si>
  <si>
    <t>Ran out of time</t>
  </si>
  <si>
    <t>S006</t>
  </si>
  <si>
    <t>S007</t>
  </si>
  <si>
    <t>Maybe</t>
  </si>
  <si>
    <t>Food groups</t>
  </si>
  <si>
    <t>S008</t>
  </si>
  <si>
    <t>S009</t>
  </si>
  <si>
    <t>S010</t>
  </si>
  <si>
    <t>S011</t>
  </si>
  <si>
    <t>Portion too big</t>
  </si>
  <si>
    <t>S012</t>
  </si>
  <si>
    <t>S013</t>
  </si>
  <si>
    <t>Sometimes I don’t know what the dish is.</t>
  </si>
  <si>
    <t>S014</t>
  </si>
  <si>
    <t>Almost always</t>
  </si>
  <si>
    <t>I don’t want my name on a leaderboard.</t>
  </si>
  <si>
    <t>S015</t>
  </si>
  <si>
    <t>S016</t>
  </si>
  <si>
    <t>Being told to finish everything makes me feel bad.</t>
  </si>
  <si>
    <t>S017</t>
  </si>
  <si>
    <t>Never</t>
  </si>
  <si>
    <t>S018</t>
  </si>
  <si>
    <t>S019</t>
  </si>
  <si>
    <t>I would eat more vegetables if they tasted better.</t>
  </si>
  <si>
    <t>S020</t>
  </si>
  <si>
    <t>Neither</t>
  </si>
  <si>
    <t>S021</t>
  </si>
  <si>
    <t>More fruit options please.</t>
  </si>
  <si>
    <t>S022</t>
  </si>
  <si>
    <t>A pet game would be fun if it is not too childish.</t>
  </si>
  <si>
    <t>S023</t>
  </si>
  <si>
    <t>S024</t>
  </si>
  <si>
    <t>S025</t>
  </si>
  <si>
    <t>S026</t>
  </si>
  <si>
    <t>S027</t>
  </si>
  <si>
    <t>Queues are too long so I rush my food.</t>
  </si>
  <si>
    <t>S028</t>
  </si>
  <si>
    <t>The rice portion is always too big for me.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</si>
  <si>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</si>
  <si>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</si>
  <si>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</si>
  <si>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</si>
  <si>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</si>
  <si>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</si>
  <si>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</si>
  <si>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</si>
  <si>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</si>
  <si>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</si>
  <si>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</si>
  <si>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</si>
  <si>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</si>
  <si>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</si>
  <si>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</si>
  <si>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</si>
  <si>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</si>
  <si>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</si>
  <si>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</si>
  <si>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</si>
  <si>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</si>
  <si>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</si>
  <si>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</si>
  <si>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</si>
  <si>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</si>
  <si>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</si>
  <si>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</si>
  <si>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</si>
  <si>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</si>
  <si>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</si>
  <si>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</si>
  <si>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</si>
  <si>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</si>
  <si>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</si>
  <si>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</si>
  <si>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</si>
  <si>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</si>
  <si>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</si>
  <si>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</si>
  <si>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</si>
  <si>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</si>
  <si>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</si>
  <si>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</si>
  <si>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</si>
  <si>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</si>
  <si>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</si>
  <si>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</si>
  <si>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</si>
  <si>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</si>
  <si>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</si>
  <si>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</si>
  <si>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</si>
  <si>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</si>
  <si>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</si>
  <si>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</si>
  <si>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</si>
  <si>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</si>
  <si>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</si>
  <si>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</si>
  <si>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</si>
  <si>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</si>
  <si>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</si>
  <si>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</si>
  <si>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</si>
  <si>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</si>
  <si>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</si>
  <si>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</si>
  <si>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</si>
  <si>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</si>
  <si>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</si>
  <si>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</si>
  <si>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</si>
  <si>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</si>
  <si>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</si>
  <si>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</si>
  <si>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</si>
  <si>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</si>
  <si>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</si>
  <si>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</si>
  <si>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</si>
  <si>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</si>
  <si>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</si>
  <si>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</si>
  <si>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</si>
  <si>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</si>
  <si>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</si>
  <si>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</si>
  <si>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</si>
  <si>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</si>
  <si>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</si>
  <si>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</si>
  <si>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</si>
  <si>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K001</t>
  </si>
  <si>
    <t>Cook</t>
  </si>
  <si>
    <t>Headcount × standard portion</t>
  </si>
  <si>
    <t>Weekly</t>
  </si>
  <si>
    <t>We cook the same amount every day regardless of attendance.</t>
  </si>
  <si>
    <t>K002</t>
  </si>
  <si>
    <t>Canteen operator</t>
  </si>
  <si>
    <t>Past experience</t>
  </si>
  <si>
    <t>Roughly</t>
  </si>
  <si>
    <t>Several times a week</t>
  </si>
  <si>
    <t>K003</t>
  </si>
  <si>
    <t>Yes, accurately</t>
  </si>
  <si>
    <t>K004</t>
  </si>
  <si>
    <t>Vegetables come back the most.</t>
  </si>
  <si>
    <t>K005</t>
  </si>
  <si>
    <t>K006</t>
  </si>
  <si>
    <t>K007</t>
  </si>
  <si>
    <t>K008</t>
  </si>
  <si>
    <t>K009</t>
  </si>
  <si>
    <t>Kitchen assistant</t>
  </si>
  <si>
    <t>K010</t>
  </si>
  <si>
    <t>Soup is always wasted.</t>
  </si>
  <si>
    <t>K011</t>
  </si>
  <si>
    <t>Daily</t>
  </si>
  <si>
    <t>I don’t have time to fill in forms.</t>
  </si>
  <si>
    <t>K012</t>
  </si>
  <si>
    <t>K013</t>
  </si>
  <si>
    <t>Written records</t>
  </si>
  <si>
    <t>K014</t>
  </si>
  <si>
    <t>Previous day’s leftovers</t>
  </si>
  <si>
    <t>K015</t>
  </si>
  <si>
    <t>K016</t>
  </si>
  <si>
    <t>K017</t>
  </si>
  <si>
    <t>K018</t>
  </si>
  <si>
    <t>Exam weeks and trips change everything.</t>
  </si>
  <si>
    <t>K019</t>
  </si>
  <si>
    <t>K020</t>
  </si>
  <si>
    <t>K021</t>
  </si>
  <si>
    <t>K022</t>
  </si>
  <si>
    <t>K023</t>
  </si>
  <si>
    <t>K024</t>
  </si>
  <si>
    <t>H001</t>
  </si>
  <si>
    <t>Nurse</t>
  </si>
  <si>
    <t>Food charts</t>
  </si>
  <si>
    <t>Same day</t>
  </si>
  <si>
    <t>Too tired</t>
  </si>
  <si>
    <t>H002</t>
  </si>
  <si>
    <t>After 2–3 days</t>
  </si>
  <si>
    <t>Taste</t>
  </si>
  <si>
    <t>H003</t>
  </si>
  <si>
    <t>H004</t>
  </si>
  <si>
    <t>After 4+ days</t>
  </si>
  <si>
    <t>Patients would like more choice.</t>
  </si>
  <si>
    <t>H005</t>
  </si>
  <si>
    <t>Patient report</t>
  </si>
  <si>
    <t>Often missed</t>
  </si>
  <si>
    <t>H006</t>
  </si>
  <si>
    <t>H007</t>
  </si>
  <si>
    <t>H008</t>
  </si>
  <si>
    <t>Dietitian</t>
  </si>
  <si>
    <t>Food charts are filled in at the end of the shift from memory.</t>
  </si>
  <si>
    <t>H009</t>
  </si>
  <si>
    <t>Poor appetite</t>
  </si>
  <si>
    <t>H010</t>
  </si>
  <si>
    <t>Elderly patients often leave most of their tray.</t>
  </si>
  <si>
    <t>H011</t>
  </si>
  <si>
    <t>H012</t>
  </si>
  <si>
    <t>Ward manager</t>
  </si>
  <si>
    <t>H013</t>
  </si>
  <si>
    <t>Visual estimate</t>
  </si>
  <si>
    <t>H014</t>
  </si>
  <si>
    <t>Pain or nausea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</si>
  <si>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</si>
  <si>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</si>
  <si>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</si>
  <si>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</si>
  <si>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</si>
  <si>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</si>
  <si>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</si>
  <si>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</si>
  <si>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</si>
  <si>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</si>
  <si>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</si>
  <si>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We need to know protein intake for wound healing.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</si>
  <si>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</si>
  <si>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</si>
  <si>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</si>
  <si>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</si>
  <si>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</si>
  <si>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</si>
  <si>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</si>
  <si>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</si>
  <si>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</si>
  <si>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</si>
  <si>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</si>
  <si>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O001</t>
  </si>
  <si>
    <t>30–39</t>
  </si>
  <si>
    <t>Lose weight</t>
  </si>
  <si>
    <t>Only anonymous totals</t>
  </si>
  <si>
    <t>Healthy options run out early.</t>
  </si>
  <si>
    <t>O002</t>
  </si>
  <si>
    <t>Steady energy</t>
  </si>
  <si>
    <t>O003</t>
  </si>
  <si>
    <t>None</t>
  </si>
  <si>
    <t>O004</t>
  </si>
  <si>
    <t>Build muscle</t>
  </si>
  <si>
    <t>O005</t>
  </si>
  <si>
    <t>40–49</t>
  </si>
  <si>
    <t>O006</t>
  </si>
  <si>
    <t>50+</t>
  </si>
  <si>
    <t>Pre-ordering would save me 15 minutes.</t>
  </si>
  <si>
    <t>O007</t>
  </si>
  <si>
    <t>O008</t>
  </si>
  <si>
    <t>O009</t>
  </si>
  <si>
    <t>O010</t>
  </si>
  <si>
    <t>O011</t>
  </si>
  <si>
    <t>O012</t>
  </si>
  <si>
    <t>Eat balanced</t>
  </si>
  <si>
    <t>O013</t>
  </si>
  <si>
    <t>I don’t want HR to see what I eat.</t>
  </si>
  <si>
    <t>O014</t>
  </si>
  <si>
    <t>O015</t>
  </si>
  <si>
    <t>20–29</t>
  </si>
  <si>
    <t>O016</t>
  </si>
  <si>
    <t>O017</t>
  </si>
  <si>
    <t>Afternoon slump after noodles.</t>
  </si>
  <si>
    <t>O018</t>
  </si>
  <si>
    <t>O019</t>
  </si>
  <si>
    <t>O020</t>
  </si>
  <si>
    <t>O021</t>
  </si>
  <si>
    <t>O022</t>
  </si>
  <si>
    <t>O023</t>
  </si>
  <si>
    <t>O024</t>
  </si>
  <si>
    <t>O025</t>
  </si>
  <si>
    <t>I never know how many calories are in the mixed rice.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</si>
  <si>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</si>
  <si>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</si>
  <si>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</si>
  <si>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</si>
  <si>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</si>
  <si>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</si>
  <si>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</si>
  <si>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</si>
  <si>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</si>
  <si>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</si>
  <si>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</si>
  <si>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</si>
  <si>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</si>
  <si>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</si>
  <si>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</si>
  <si>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</si>
  <si>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</si>
  <si>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</si>
  <si>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</si>
  <si>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</si>
  <si>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</si>
  <si>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</si>
  <si>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</si>
  <si>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</si>
  <si>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</si>
  <si>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</si>
  <si>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</si>
  <si>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</si>
  <si>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</si>
  <si>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</si>
  <si>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</si>
  <si>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</si>
  <si>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</si>
  <si>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</si>
  <si>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</si>
  <si>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</si>
  <si>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</si>
  <si>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</si>
  <si>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</si>
  <si>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</si>
  <si>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</si>
  <si>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</si>
  <si>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</si>
  <si>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</si>
  <si>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</si>
  <si>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</si>
  <si>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</si>
  <si>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</si>
  <si>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</si>
  <si>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</si>
  <si>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</si>
  <si>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</si>
  <si>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</si>
  <si>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</si>
  <si>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</si>
  <si>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Analysis (DEMO DATA)</t>
  </si>
  <si>
    <t>All values are formulas over the data sheets (rows 2–1000).</t>
  </si>
  <si>
    <t>Respondents</t>
  </si>
  <si>
    <t>S1  Which are you?</t>
  </si>
  <si>
    <t>Answer</t>
  </si>
  <si>
    <t>Count</t>
  </si>
  <si>
    <t>Share</t>
  </si>
  <si>
    <t>S2  How often do you leave food on your tray?</t>
  </si>
  <si>
    <t>S3  What is the main reason you leave food?</t>
  </si>
  <si>
    <t>S4  Would you take a smaller portion if you could ask for one easily?</t>
  </si>
  <si>
    <t>S5  Are you told to finish everything on your plate?</t>
  </si>
  <si>
    <t>S7  Which would you rather see about your lunch?</t>
  </si>
  <si>
    <t>Scale questions (1–5)</t>
  </si>
  <si>
    <t>Average (1–5)</t>
  </si>
  <si>
    <t>Agree (4–5)</t>
  </si>
  <si>
    <t>Answers</t>
  </si>
  <si>
    <t>S6  I would like to see what I ate at lunch (food groups and nutrients).</t>
  </si>
  <si>
    <t>S8  I would scan my tray before and after lunch if it fed a virtual pet.</t>
  </si>
  <si>
    <t>S9  A weekly class competition on food waste would motivate me.</t>
  </si>
  <si>
    <t>S10  I would be comfortable signing in to a scanner with my face.</t>
  </si>
  <si>
    <t>K1  What is your role?</t>
  </si>
  <si>
    <t>K2  How do you mainly decide how much to cook each day?</t>
  </si>
  <si>
    <t>K3  Roughly what percentage of the food you cook is thrown away on a typical day?</t>
  </si>
  <si>
    <t>Average</t>
  </si>
  <si>
    <t>Median</t>
  </si>
  <si>
    <t>Minimum</t>
  </si>
  <si>
    <t>Maximum</t>
  </si>
  <si>
    <t>K4  Do you know which dishes come back on trays most?</t>
  </si>
  <si>
    <t>K5  How often do you prepare more food than is eaten?</t>
  </si>
  <si>
    <t>K9  How many minutes a day do you spend planning orders and quantities?</t>
  </si>
  <si>
    <t>K6  A suggested order for tomorrow, based on what was eaten, would be useful.</t>
  </si>
  <si>
    <t>K7  Seeing waste broken down by dish would be useful.</t>
  </si>
  <si>
    <t>K8  A monthly carbon report would be useful.</t>
  </si>
  <si>
    <t>K10  I am worried a new system would add to my workload.</t>
  </si>
  <si>
    <t>H1  What is your role?</t>
  </si>
  <si>
    <t>H2  How is patients’ food intake mainly tracked on your ward?</t>
  </si>
  <si>
    <t>Not tracked</t>
  </si>
  <si>
    <t>H4  How many minutes per shift do you spend documenting food intake?</t>
  </si>
  <si>
    <t>H5  How quickly is a patient who stops eating usually noticed?</t>
  </si>
  <si>
    <t>H6  What is the most common reason patients leave food?</t>
  </si>
  <si>
    <t>H9  Would patients benefit from choosing their next day’s meals and portion size?</t>
  </si>
  <si>
    <t>H3  I am confident our intake records are accurate.</t>
  </si>
  <si>
    <t>H7  Automatic intake records for every tray would be useful.</t>
  </si>
  <si>
    <t>H8  An alert that includes the patient’s reason for not eating would be useful.</t>
  </si>
  <si>
    <t>O1  Your age group</t>
  </si>
  <si>
    <t>O2  How many days a week do you eat at the office canteen?</t>
  </si>
  <si>
    <t>O3  Do you have a health goal for your meals?</t>
  </si>
  <si>
    <t>O5  How often do you feel an energy dip in the afternoon?</t>
  </si>
  <si>
    <t>O6  Would you pre-order lunch to skip the queue?</t>
  </si>
  <si>
    <t>O8  Would you share your meal data with your employer?</t>
  </si>
  <si>
    <t>O9  How many minutes do you usually queue at lunch?</t>
  </si>
  <si>
    <t>O4  I know the nutrients in my canteen lunch.</t>
  </si>
  <si>
    <t>O7  A daily lunch suggestion for my health goal would be useful.</t>
  </si>
  <si>
    <t>Segment comparisons</t>
  </si>
  <si>
    <t>Would scan to feed a virtual pet (S8), average: secondary</t>
  </si>
  <si>
    <t>Would scan to feed a virtual pet (S8), average: university</t>
  </si>
  <si>
    <t>Told to finish their plate (S5 = Yes): secondary</t>
  </si>
  <si>
    <t>Told to finish their plate (S5 = Yes):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</si>
</sst>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1"/>
      <color rgb="FFC00000"/>
      <name val="Arial"/>
    </font>
    <font>
      <sz val="11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b/>
      <sz val="14"/>
      <name val="Arial"/>
    </font>
    <font>
      <i/>
      <sz val="11"/>
      <color rgb="FF666666"/>
      <name val="Arial"/>
    </font>
    <font>
      <b/>
      <sz val="13"/>
      <color rgb="FF1E7A44"/>
      <name val="Arial"/>
    </font>
    <font>
      <b/>
      <sz val="14"/>
      <color rgb="FFC00000"/>
      <name val="Arial"/>
    </font>
    <font>
      <sz val="11"/>
      <color rgb="FF1E7A44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E7A44"/>
      </patternFill>
    </fill>
    <fill>
      <patternFill patternType="solid">
        <fgColor rgb="FFE3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0" fillId="0" borderId="0" xfId="0" applyFont="1"/>
    <xf numFmtId="0" fontId="6" fillId="3" borderId="0" xfId="0" applyFont="1" applyFill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4" borderId="0" xfId="0" applyFont="1" applyFill="1"/>
    <xf numFmtId="9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S1 Which are you?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Analysis!$A$9:$A$10</c:f>
              <c:strCache>
                <c:ptCount val="2"/>
                <c:pt idx="0">
                  <c:v>Secondary school</c:v>
                </c:pt>
                <c:pt idx="1">
                  <c:v>University</c:v>
                </c:pt>
              </c:strCache>
            </c:strRef>
          </c:cat>
          <c:val>
            <c:numRef>
              <c:f>Analysis!$C$9:$C$10</c:f>
              <c:numCache>
                <c:formatCode>0%</c:formatCode>
                <c:ptCount val="2"/>
                <c:pt idx="0">
                  <c:v>0.56666666666666665</c:v>
                </c:pt>
                <c:pt idx="1">
                  <c:v>0.43333333333333335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B2-4BF2-8203-97031C69E9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S2 How often do you leave food on your tray?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Analysis!$A$22:$A$26</c:f>
              <c:strCache>
                <c:ptCount val="5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Often</c:v>
                </c:pt>
                <c:pt idx="4">
                  <c:v>Almost always</c:v>
                </c:pt>
              </c:strCache>
            </c:strRef>
          </c:cat>
          <c:val>
            <c:numRef>
              <c:f>Analysis!$C$22:$C$26</c:f>
              <c:numCache>
                <c:formatCode>0%</c:formatCode>
                <c:ptCount val="5"/>
                <c:pt idx="0">
                  <c:v>0.1</c:v>
                </c:pt>
                <c:pt idx="1">
                  <c:v>0.14166666666666666</c:v>
                </c:pt>
                <c:pt idx="2">
                  <c:v>0.35</c:v>
                </c:pt>
                <c:pt idx="3">
                  <c:v>0.26666666666666666</c:v>
                </c:pt>
                <c:pt idx="4">
                  <c:v>0.14166666666666666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56-49D0-99CE-3391353052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S3 What is the main reason you leave food?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Analysis!$A$38:$A$42</c:f>
              <c:strCache>
                <c:ptCount val="5"/>
                <c:pt idx="0">
                  <c:v>Portion too big</c:v>
                </c:pt>
                <c:pt idx="1">
                  <c:v>Don’t like the taste</c:v>
                </c:pt>
                <c:pt idx="2">
                  <c:v>Not hungry</c:v>
                </c:pt>
                <c:pt idx="3">
                  <c:v>Ran out of time</c:v>
                </c:pt>
                <c:pt idx="4">
                  <c:v>Didn’t recognise the dish</c:v>
                </c:pt>
              </c:strCache>
            </c:strRef>
          </c:cat>
          <c:val>
            <c:numRef>
              <c:f>Analysis!$C$38:$C$42</c:f>
              <c:numCache>
                <c:formatCode>0%</c:formatCode>
                <c:ptCount val="5"/>
                <c:pt idx="0">
                  <c:v>0.35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4E-4135-8D61-0A80D154CF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S4 Would you take a smaller portion if you could ask for one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Analysis!$A$54:$A$56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Analysis!$C$54:$C$56</c:f>
              <c:numCache>
                <c:formatCode>0%</c:formatCode>
                <c:ptCount val="3"/>
                <c:pt idx="0">
                  <c:v>0.51666666666666672</c:v>
                </c:pt>
                <c:pt idx="1">
                  <c:v>0.28333333333333333</c:v>
                </c:pt>
                <c:pt idx="2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C1-4882-A67A-E8C903C0F2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S5 Are you told to finish everything on your plate?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Analysis!$A$68:$A$70</c:f>
              <c:strCache>
                <c:ptCount val="3"/>
                <c:pt idx="0">
                  <c:v>Yes</c:v>
                </c:pt>
                <c:pt idx="1">
                  <c:v>Sometimes</c:v>
                </c:pt>
                <c:pt idx="2">
                  <c:v>No</c:v>
                </c:pt>
              </c:strCache>
            </c:strRef>
          </c:cat>
          <c:val>
            <c:numRef>
              <c:f>Analysis!$C$68:$C$70</c:f>
              <c:numCache>
                <c:formatCode>0%</c:formatCode>
                <c:ptCount val="3"/>
                <c:pt idx="0">
                  <c:v>0.29166666666666669</c:v>
                </c:pt>
                <c:pt idx="1">
                  <c:v>0.25</c:v>
                </c:pt>
                <c:pt idx="2">
                  <c:v>0.45833333333333331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88-48EC-B42E-519593C57B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S7 Which would you rather see about your lunch?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Analysis!$A$82:$A$85</c:f>
              <c:strCache>
                <c:ptCount val="4"/>
                <c:pt idx="0">
                  <c:v>Food groups</c:v>
                </c:pt>
                <c:pt idx="1">
                  <c:v>Calories</c:v>
                </c:pt>
                <c:pt idx="2">
                  <c:v>Both</c:v>
                </c:pt>
                <c:pt idx="3">
                  <c:v>Neither</c:v>
                </c:pt>
              </c:strCache>
            </c:strRef>
          </c:cat>
          <c:val>
            <c:numRef>
              <c:f>Analysis!$C$82:$C$85</c:f>
              <c:numCache>
                <c:formatCode>0%</c:formatCode>
                <c:ptCount val="4"/>
                <c:pt idx="0">
                  <c:v>0.44166666666666665</c:v>
                </c:pt>
                <c:pt idx="1">
                  <c:v>0.22500000000000001</c:v>
                </c:pt>
                <c:pt idx="2">
                  <c:v>0.20833333333333334</c:v>
                </c:pt>
                <c:pt idx="3">
                  <c:v>0.125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B4-4D40-BBFE-A693376982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Students: share who agree (4–5)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Analysis!$A$97:$A$100</c:f>
              <c:strCache>
                <c:ptCount val="4"/>
                <c:pt idx="0">
                  <c:v>S6  I would like to see what I ate at lunch (food groups and nutrients).</c:v>
                </c:pt>
                <c:pt idx="1">
                  <c:v>S8  I would scan my tray before and after lunch if it fed a virtual pet.</c:v>
                </c:pt>
                <c:pt idx="2">
                  <c:v>S9  A weekly class competition on food waste would motivate me.</c:v>
                </c:pt>
                <c:pt idx="3">
                  <c:v>S10  I would be comfortable signing in to a scanner with my face.</c:v>
                </c:pt>
              </c:strCache>
            </c:strRef>
          </c:cat>
          <c:val>
            <c:numRef>
              <c:f>Analysis!$C$97:$C$100</c:f>
              <c:numCache>
                <c:formatCode>0%</c:formatCode>
                <c:ptCount val="4"/>
                <c:pt idx="0">
                  <c:v>0.64166666666666672</c:v>
                </c:pt>
                <c:pt idx="1">
                  <c:v>0.60833333333333328</c:v>
                </c:pt>
                <c:pt idx="2">
                  <c:v>0.55000000000000004</c:v>
                </c:pt>
                <c:pt idx="3">
                  <c:v>0.42499999999999999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A1-4869-9379-C113DE23EA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K1 What is your role?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Analysis!$A$118:$A$120</c:f>
              <c:strCache>
                <c:ptCount val="3"/>
                <c:pt idx="0">
                  <c:v>Canteen operator</c:v>
                </c:pt>
                <c:pt idx="1">
                  <c:v>Cook</c:v>
                </c:pt>
                <c:pt idx="2">
                  <c:v>Kitchen assistant</c:v>
                </c:pt>
              </c:strCache>
            </c:strRef>
          </c:cat>
          <c:val>
            <c:numRef>
              <c:f>Analysis!$C$118:$C$120</c:f>
              <c:numCache>
                <c:formatCode>0%</c:formatCode>
                <c:ptCount val="3"/>
                <c:pt idx="0">
                  <c:v>0.375</c:v>
                </c:pt>
                <c:pt idx="1">
                  <c:v>0.41666666666666669</c:v>
                </c:pt>
                <c:pt idx="2">
                  <c:v>0.20833333333333334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8C-4AC8-B59D-77D19E6981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K2 How do you mainly decide how much to cook each day?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Analysis!$A$132:$A$135</c:f>
              <c:strCache>
                <c:ptCount val="4"/>
                <c:pt idx="0">
                  <c:v>Past experience</c:v>
                </c:pt>
                <c:pt idx="1">
                  <c:v>Headcount × standard portion</c:v>
                </c:pt>
                <c:pt idx="2">
                  <c:v>Previous day’s leftovers</c:v>
                </c:pt>
                <c:pt idx="3">
                  <c:v>Written records</c:v>
                </c:pt>
              </c:strCache>
            </c:strRef>
          </c:cat>
          <c:val>
            <c:numRef>
              <c:f>Analysis!$C$132:$C$135</c:f>
              <c:numCache>
                <c:formatCode>0%</c:formatCode>
                <c:ptCount val="4"/>
                <c:pt idx="0">
                  <c:v>0.58333333333333337</c:v>
                </c:pt>
                <c:pt idx="1">
                  <c:v>0.25</c:v>
                </c:pt>
                <c:pt idx="2">
                  <c:v>8.3333333333333329E-2</c:v>
                </c:pt>
                <c:pt idx="3">
                  <c:v>8.3333333333333329E-2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D7-4FCC-8E66-22FEDCED5E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K4 Do you know which dishes come back on trays most?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Analysis!$A$154:$A$156</c:f>
              <c:strCache>
                <c:ptCount val="3"/>
                <c:pt idx="0">
                  <c:v>Yes, accurately</c:v>
                </c:pt>
                <c:pt idx="1">
                  <c:v>Roughly</c:v>
                </c:pt>
                <c:pt idx="2">
                  <c:v>No</c:v>
                </c:pt>
              </c:strCache>
            </c:strRef>
          </c:cat>
          <c:val>
            <c:numRef>
              <c:f>Analysis!$C$154:$C$156</c:f>
              <c:numCache>
                <c:formatCode>0%</c:formatCode>
                <c:ptCount val="3"/>
                <c:pt idx="0">
                  <c:v>0.20833333333333334</c:v>
                </c:pt>
                <c:pt idx="1">
                  <c:v>0.29166666666666669</c:v>
                </c:pt>
                <c:pt idx="2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24-4906-8F4C-4487B6F1D6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K5 How often do you prepare more food than is eaten?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Analysis!$A$168:$A$172</c:f>
              <c:strCache>
                <c:ptCount val="5"/>
                <c:pt idx="0">
                  <c:v>Never</c:v>
                </c:pt>
                <c:pt idx="1">
                  <c:v>Rarely</c:v>
                </c:pt>
                <c:pt idx="2">
                  <c:v>Weekly</c:v>
                </c:pt>
                <c:pt idx="3">
                  <c:v>Several times a week</c:v>
                </c:pt>
                <c:pt idx="4">
                  <c:v>Daily</c:v>
                </c:pt>
              </c:strCache>
            </c:strRef>
          </c:cat>
          <c:val>
            <c:numRef>
              <c:f>Analysis!$C$168:$C$172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0.41666666666666669</c:v>
                </c:pt>
                <c:pt idx="3">
                  <c:v>0.29166666666666669</c:v>
                </c:pt>
                <c:pt idx="4">
                  <c:v>4.1666666666666664E-2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7D-44A0-855F-E47E323DBD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Kitchen: share who agree (4–5)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Analysis!$A$191:$A$194</c:f>
              <c:strCache>
                <c:ptCount val="4"/>
                <c:pt idx="0">
                  <c:v>K6  A suggested order for tomorrow, based on what was eaten, would be useful.</c:v>
                </c:pt>
                <c:pt idx="1">
                  <c:v>K7  Seeing waste broken down by dish would be useful.</c:v>
                </c:pt>
                <c:pt idx="2">
                  <c:v>K8  A monthly carbon report would be useful.</c:v>
                </c:pt>
                <c:pt idx="3">
                  <c:v>K10  I am worried a new system would add to my workload.</c:v>
                </c:pt>
              </c:strCache>
            </c:strRef>
          </c:cat>
          <c:val>
            <c:numRef>
              <c:f>Analysis!$C$191:$C$194</c:f>
              <c:numCache>
                <c:formatCode>0%</c:formatCode>
                <c:ptCount val="4"/>
                <c:pt idx="0">
                  <c:v>0.75</c:v>
                </c:pt>
                <c:pt idx="1">
                  <c:v>0.66666666666666663</c:v>
                </c:pt>
                <c:pt idx="2">
                  <c:v>0.5</c:v>
                </c:pt>
                <c:pt idx="3">
                  <c:v>0.41666666666666669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A5-4069-8F97-30D676B194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H1 What is your role?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Analysis!$A$212:$A$214</c:f>
              <c:strCache>
                <c:ptCount val="3"/>
                <c:pt idx="0">
                  <c:v>Nurse</c:v>
                </c:pt>
                <c:pt idx="1">
                  <c:v>Dietitian</c:v>
                </c:pt>
                <c:pt idx="2">
                  <c:v>Ward manager</c:v>
                </c:pt>
              </c:strCache>
            </c:strRef>
          </c:cat>
          <c:val>
            <c:numRef>
              <c:f>Analysis!$C$212:$C$214</c:f>
              <c:numCache>
                <c:formatCode>0%</c:formatCode>
                <c:ptCount val="3"/>
                <c:pt idx="0">
                  <c:v>0.75</c:v>
                </c:pt>
                <c:pt idx="1">
                  <c:v>8.3333333333333329E-2</c:v>
                </c:pt>
                <c:pt idx="2">
                  <c:v>0.16666666666666666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9E-44E6-8245-F913EC9574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H2 How is patients’ food intake mainly tracked on your ward?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Analysis!$A$226:$A$229</c:f>
              <c:strCache>
                <c:ptCount val="4"/>
                <c:pt idx="0">
                  <c:v>Food charts</c:v>
                </c:pt>
                <c:pt idx="1">
                  <c:v>Visual estimate</c:v>
                </c:pt>
                <c:pt idx="2">
                  <c:v>Patient report</c:v>
                </c:pt>
                <c:pt idx="3">
                  <c:v>Not tracked</c:v>
                </c:pt>
              </c:strCache>
            </c:strRef>
          </c:cat>
          <c:val>
            <c:numRef>
              <c:f>Analysis!$C$226:$C$229</c:f>
              <c:numCache>
                <c:formatCode>0%</c:formatCode>
                <c:ptCount val="4"/>
                <c:pt idx="0">
                  <c:v>0.63888888888888884</c:v>
                </c:pt>
                <c:pt idx="1">
                  <c:v>0.16666666666666666</c:v>
                </c:pt>
                <c:pt idx="2">
                  <c:v>0.19444444444444445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28-4228-9681-81FD6A6E07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H5 How quickly is a patient who stops eating usually noticed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Analysis!$A$248:$A$251</c:f>
              <c:strCache>
                <c:ptCount val="4"/>
                <c:pt idx="0">
                  <c:v>Same day</c:v>
                </c:pt>
                <c:pt idx="1">
                  <c:v>After 2–3 days</c:v>
                </c:pt>
                <c:pt idx="2">
                  <c:v>After 4+ days</c:v>
                </c:pt>
                <c:pt idx="3">
                  <c:v>Often missed</c:v>
                </c:pt>
              </c:strCache>
            </c:strRef>
          </c:cat>
          <c:val>
            <c:numRef>
              <c:f>Analysis!$C$248:$C$251</c:f>
              <c:numCache>
                <c:formatCode>0%</c:formatCode>
                <c:ptCount val="4"/>
                <c:pt idx="0">
                  <c:v>0.1388888888888889</c:v>
                </c:pt>
                <c:pt idx="1">
                  <c:v>0.44444444444444442</c:v>
                </c:pt>
                <c:pt idx="2">
                  <c:v>0.27777777777777779</c:v>
                </c:pt>
                <c:pt idx="3">
                  <c:v>0.1388888888888889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87-4D11-B852-CE8436B038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H6 What is the most common reason patients leave food?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Analysis!$A$263:$A$267</c:f>
              <c:strCache>
                <c:ptCount val="5"/>
                <c:pt idx="0">
                  <c:v>Poor appetite</c:v>
                </c:pt>
                <c:pt idx="1">
                  <c:v>Taste</c:v>
                </c:pt>
                <c:pt idx="2">
                  <c:v>Portion too big</c:v>
                </c:pt>
                <c:pt idx="3">
                  <c:v>Too tired</c:v>
                </c:pt>
                <c:pt idx="4">
                  <c:v>Pain or nausea</c:v>
                </c:pt>
              </c:strCache>
            </c:strRef>
          </c:cat>
          <c:val>
            <c:numRef>
              <c:f>Analysis!$C$263:$C$267</c:f>
              <c:numCache>
                <c:formatCode>0%</c:formatCode>
                <c:ptCount val="5"/>
                <c:pt idx="0">
                  <c:v>0.27777777777777779</c:v>
                </c:pt>
                <c:pt idx="1">
                  <c:v>0.33333333333333331</c:v>
                </c:pt>
                <c:pt idx="2">
                  <c:v>0.19444444444444445</c:v>
                </c:pt>
                <c:pt idx="3">
                  <c:v>0.1111111111111111</c:v>
                </c:pt>
                <c:pt idx="4">
                  <c:v>8.3333333333333329E-2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E2-4A5D-BD09-F414F46F30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H9 Would patients benefit from choosing their next day’s mea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Analysis!$A$279:$A$281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Analysis!$C$279:$C$281</c:f>
              <c:numCache>
                <c:formatCode>0%</c:formatCode>
                <c:ptCount val="3"/>
                <c:pt idx="0">
                  <c:v>0.61111111111111116</c:v>
                </c:pt>
                <c:pt idx="1">
                  <c:v>0.30555555555555558</c:v>
                </c:pt>
                <c:pt idx="2">
                  <c:v>8.3333333333333329E-2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12-4D2C-A7A5-787B621D31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Hospital: share who agree (4–5)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Analysis!$A$293:$A$295</c:f>
              <c:strCache>
                <c:ptCount val="3"/>
                <c:pt idx="0">
                  <c:v>H3  I am confident our intake records are accurate.</c:v>
                </c:pt>
                <c:pt idx="1">
                  <c:v>H7  Automatic intake records for every tray would be useful.</c:v>
                </c:pt>
                <c:pt idx="2">
                  <c:v>H8  An alert that includes the patient’s reason for not eating would be useful.</c:v>
                </c:pt>
              </c:strCache>
            </c:strRef>
          </c:cat>
          <c:val>
            <c:numRef>
              <c:f>Analysis!$C$293:$C$295</c:f>
              <c:numCache>
                <c:formatCode>0%</c:formatCode>
                <c:ptCount val="3"/>
                <c:pt idx="0">
                  <c:v>0.22222222222222221</c:v>
                </c:pt>
                <c:pt idx="1">
                  <c:v>0.83333333333333337</c:v>
                </c:pt>
                <c:pt idx="2">
                  <c:v>0.83333333333333337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24-4763-8840-2BDDD29606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O1 Your age group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Analysis!$A$313:$A$316</c:f>
              <c:strCache>
                <c:ptCount val="4"/>
                <c:pt idx="0">
                  <c:v>20–29</c:v>
                </c:pt>
                <c:pt idx="1">
                  <c:v>30–39</c:v>
                </c:pt>
                <c:pt idx="2">
                  <c:v>40–49</c:v>
                </c:pt>
                <c:pt idx="3">
                  <c:v>50+</c:v>
                </c:pt>
              </c:strCache>
            </c:strRef>
          </c:cat>
          <c:val>
            <c:numRef>
              <c:f>Analysis!$C$313:$C$316</c:f>
              <c:numCache>
                <c:formatCode>0%</c:formatCode>
                <c:ptCount val="4"/>
                <c:pt idx="0">
                  <c:v>0.1875</c:v>
                </c:pt>
                <c:pt idx="1">
                  <c:v>0.38750000000000001</c:v>
                </c:pt>
                <c:pt idx="2">
                  <c:v>0.27500000000000002</c:v>
                </c:pt>
                <c:pt idx="3">
                  <c:v>0.15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A4-4E85-B7B3-8A03D5F636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O3 Do you have a health goal for your meals?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Analysis!$A$335:$A$339</c:f>
              <c:strCache>
                <c:ptCount val="5"/>
                <c:pt idx="0">
                  <c:v>Lose weight</c:v>
                </c:pt>
                <c:pt idx="1">
                  <c:v>Build muscle</c:v>
                </c:pt>
                <c:pt idx="2">
                  <c:v>Steady energy</c:v>
                </c:pt>
                <c:pt idx="3">
                  <c:v>Eat balanced</c:v>
                </c:pt>
                <c:pt idx="4">
                  <c:v>None</c:v>
                </c:pt>
              </c:strCache>
            </c:strRef>
          </c:cat>
          <c:val>
            <c:numRef>
              <c:f>Analysis!$C$335:$C$339</c:f>
              <c:numCache>
                <c:formatCode>0%</c:formatCode>
                <c:ptCount val="5"/>
                <c:pt idx="0">
                  <c:v>0.3</c:v>
                </c:pt>
                <c:pt idx="1">
                  <c:v>0.13750000000000001</c:v>
                </c:pt>
                <c:pt idx="2">
                  <c:v>0.21249999999999999</c:v>
                </c:pt>
                <c:pt idx="3">
                  <c:v>0.1875</c:v>
                </c:pt>
                <c:pt idx="4">
                  <c:v>0.16250000000000001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63-4A83-999E-5E7D6D3459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O5 How often do you feel an energy dip in the afternoon?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Analysis!$A$351:$A$355</c:f>
              <c:strCache>
                <c:ptCount val="5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Often</c:v>
                </c:pt>
                <c:pt idx="4">
                  <c:v>Daily</c:v>
                </c:pt>
              </c:strCache>
            </c:strRef>
          </c:cat>
          <c:val>
            <c:numRef>
              <c:f>Analysis!$C$351:$C$355</c:f>
              <c:numCache>
                <c:formatCode>0%</c:formatCode>
                <c:ptCount val="5"/>
                <c:pt idx="0">
                  <c:v>8.7499999999999994E-2</c:v>
                </c:pt>
                <c:pt idx="1">
                  <c:v>0.15</c:v>
                </c:pt>
                <c:pt idx="2">
                  <c:v>0.33750000000000002</c:v>
                </c:pt>
                <c:pt idx="3">
                  <c:v>0.23749999999999999</c:v>
                </c:pt>
                <c:pt idx="4">
                  <c:v>0.1875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AE-4FDA-A7EB-C14A0FAC90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O6 Would you pre-order lunch to skip the queue?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Analysis!$A$367:$A$369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Analysis!$C$367:$C$369</c:f>
              <c:numCache>
                <c:formatCode>0%</c:formatCode>
                <c:ptCount val="3"/>
                <c:pt idx="0">
                  <c:v>0.63749999999999996</c:v>
                </c:pt>
                <c:pt idx="1">
                  <c:v>0.22500000000000001</c:v>
                </c:pt>
                <c:pt idx="2">
                  <c:v>0.13750000000000001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90-4CE3-B51E-7F604DCBC4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O8 Would you share your meal data with your employer?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Analysis!$A$381:$A$383</c:f>
              <c:strCache>
                <c:ptCount val="3"/>
                <c:pt idx="0">
                  <c:v>Yes</c:v>
                </c:pt>
                <c:pt idx="1">
                  <c:v>Only anonymous totals</c:v>
                </c:pt>
                <c:pt idx="2">
                  <c:v>No</c:v>
                </c:pt>
              </c:strCache>
            </c:strRef>
          </c:cat>
          <c:val>
            <c:numRef>
              <c:f>Analysis!$C$381:$C$383</c:f>
              <c:numCache>
                <c:formatCode>0%</c:formatCode>
                <c:ptCount val="3"/>
                <c:pt idx="0">
                  <c:v>0.125</c:v>
                </c:pt>
                <c:pt idx="1">
                  <c:v>0.5625</c:v>
                </c:pt>
                <c:pt idx="2">
                  <c:v>0.3125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9C-461F-9E1B-315F990C10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Office: share who agree (4–5)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Analysis!$A$402:$A$403</c:f>
              <c:strCache>
                <c:ptCount val="2"/>
                <c:pt idx="0">
                  <c:v>O4  I know the nutrients in my canteen lunch.</c:v>
                </c:pt>
                <c:pt idx="1">
                  <c:v>O7  A daily lunch suggestion for my health goal would be useful.</c:v>
                </c:pt>
              </c:strCache>
            </c:strRef>
          </c:cat>
          <c:val>
            <c:numRef>
              <c:f>Analysis!$C$402:$C$403</c:f>
              <c:numCache>
                <c:formatCode>0%</c:formatCode>
                <c:ptCount val="2"/>
                <c:pt idx="0">
                  <c:v>0.15</c:v>
                </c:pt>
                <c:pt idx="1">
                  <c:v>0.61250000000000004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29-45F8-9FEF-CCB4CAF4BD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5040000" cy="230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040000" cy="279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35</xdr:row>
      <xdr:rowOff>0</xdr:rowOff>
    </xdr:from>
    <xdr:ext cx="5040000" cy="279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51</xdr:row>
      <xdr:rowOff>0</xdr:rowOff>
    </xdr:from>
    <xdr:ext cx="5040000" cy="246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5040000" cy="246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5040000" cy="262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94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115</xdr:row>
      <xdr:rowOff>0</xdr:rowOff>
    </xdr:from>
    <xdr:ext cx="5040000" cy="246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129</xdr:row>
      <xdr:rowOff>0</xdr:rowOff>
    </xdr:from>
    <xdr:ext cx="5040000" cy="2628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151</xdr:row>
      <xdr:rowOff>0</xdr:rowOff>
    </xdr:from>
    <xdr:ext cx="5040000" cy="2466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165</xdr:row>
      <xdr:rowOff>0</xdr:rowOff>
    </xdr:from>
    <xdr:ext cx="5040000" cy="279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188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209</xdr:row>
      <xdr:rowOff>0</xdr:rowOff>
    </xdr:from>
    <xdr:ext cx="5040000" cy="2466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223</xdr:row>
      <xdr:rowOff>0</xdr:rowOff>
    </xdr:from>
    <xdr:ext cx="5040000" cy="2628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245</xdr:row>
      <xdr:rowOff>0</xdr:rowOff>
    </xdr:from>
    <xdr:ext cx="5040000" cy="2628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260</xdr:row>
      <xdr:rowOff>0</xdr:rowOff>
    </xdr:from>
    <xdr:ext cx="5040000" cy="279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276</xdr:row>
      <xdr:rowOff>0</xdr:rowOff>
    </xdr:from>
    <xdr:ext cx="5040000" cy="2466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290</xdr:row>
      <xdr:rowOff>0</xdr:rowOff>
    </xdr:from>
    <xdr:ext cx="5040000" cy="252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310</xdr:row>
      <xdr:rowOff>0</xdr:rowOff>
    </xdr:from>
    <xdr:ext cx="5040000" cy="2628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332</xdr:row>
      <xdr:rowOff>0</xdr:rowOff>
    </xdr:from>
    <xdr:ext cx="5040000" cy="279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348</xdr:row>
      <xdr:rowOff>0</xdr:rowOff>
    </xdr:from>
    <xdr:ext cx="5040000" cy="279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364</xdr:row>
      <xdr:rowOff>0</xdr:rowOff>
    </xdr:from>
    <xdr:ext cx="5040000" cy="2466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378</xdr:row>
      <xdr:rowOff>0</xdr:rowOff>
    </xdr:from>
    <xdr:ext cx="5040000" cy="2466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399</xdr:row>
      <xdr:rowOff>0</xdr:rowOff>
    </xdr:from>
    <xdr:ext cx="5040000" cy="252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workbookViewId="0"/>
  </sheetViews>
  <sheetFormatPr defaultRowHeight="15" x14ac:dyDescent="0.25"/>
  <cols>
    <col min="1" max="1" width="30" customWidth="1"/>
    <col min="2" max="2" width="110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3" spans="1:2" x14ac:dyDescent="0.25">
      <c r="A3" s="3"/>
      <c r="B3" s="3"/>
    </row>
    <row r="4" spans="1:2" x14ac:dyDescent="0.25">
      <c r="A4" s="4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4"/>
      <c r="B9" s="3"/>
    </row>
    <row r="10" spans="1:2" x14ac:dyDescent="0.25">
      <c r="A10" s="4" t="s">
        <v>12</v>
      </c>
      <c r="B10" s="3"/>
    </row>
    <row r="11" spans="1:2" x14ac:dyDescent="0.25">
      <c r="A11" s="5" t="s">
        <v>13</v>
      </c>
      <c r="B11" s="3" t="s">
        <v>14</v>
      </c>
    </row>
    <row r="12" spans="1:2" x14ac:dyDescent="0.25">
      <c r="A12" s="3" t="s">
        <v>15</v>
      </c>
      <c r="B12" s="3" t="s">
        <v>16</v>
      </c>
    </row>
    <row r="13" spans="1:2" x14ac:dyDescent="0.25">
      <c r="A13" s="3" t="s">
        <v>17</v>
      </c>
      <c r="B13" s="3" t="s">
        <v>18</v>
      </c>
    </row>
    <row r="14" spans="1:2" x14ac:dyDescent="0.25">
      <c r="A14" s="3" t="s">
        <v>19</v>
      </c>
      <c r="B14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4" customWidth="1"/>
    <col min="2" max="2" width="11" customWidth="1"/>
    <col min="3" max="3" width="80" customWidth="1"/>
    <col min="4" max="4" width="55" customWidth="1"/>
  </cols>
  <sheetData>
    <row r="1" spans="1:4" ht="18" x14ac:dyDescent="0.25">
      <c r="A1" s="6" t="s">
        <v>21</v>
      </c>
    </row>
    <row r="3" spans="1:4" x14ac:dyDescent="0.25">
      <c r="A3" s="7" t="s">
        <v>22</v>
      </c>
      <c r="B3" s="7" t="s">
        <v>23</v>
      </c>
      <c r="C3" s="7" t="s">
        <v>24</v>
      </c>
      <c r="D3" s="7" t="s">
        <v>25</v>
      </c>
    </row>
    <row r="4" spans="1:4" ht="48" customHeight="1" x14ac:dyDescent="0.25">
      <c r="A4" s="4">
        <v>1</v>
      </c>
      <c r="B4" s="4" t="s">
        <v>26</v>
      </c>
      <c r="C4" s="8" t="str">
        <f>"Portion size is the top reason for leaving food: "&amp;TEXT(Analysis!$C$38,"0%")&amp;" chose it, and "&amp;TEXT(Analysis!$C$54,"0%")&amp;" would take a smaller portion if they could ask easily."</f>
        <v>Portion size is the top reason for leaving food: 35% chose it, and 52% would take a smaller portion if they could ask easily.</v>
      </c>
      <c r="D4" s="9" t="s">
        <v>27</v>
      </c>
    </row>
    <row r="5" spans="1:4" ht="48" customHeight="1" x14ac:dyDescent="0.25">
      <c r="A5" s="4">
        <v>2</v>
      </c>
      <c r="B5" s="4" t="s">
        <v>26</v>
      </c>
      <c r="C5" s="8" t="str">
        <f>"More students prefer food groups ("&amp;TEXT(Analysis!$C$82,"0%")&amp;") than calories ("&amp;TEXT(Analysis!$C$83,"0%")&amp;") when seeing what they ate."</f>
        <v>More students prefer food groups (44%) than calories (23%) when seeing what they ate.</v>
      </c>
      <c r="D5" s="9" t="s">
        <v>28</v>
      </c>
    </row>
    <row r="6" spans="1:4" ht="48" customHeight="1" x14ac:dyDescent="0.25">
      <c r="A6" s="4">
        <v>3</v>
      </c>
      <c r="B6" s="4" t="s">
        <v>26</v>
      </c>
      <c r="C6" s="8" t="str">
        <f>"A virtual pet appeals more to secondary students (average "&amp;TEXT(Analysis!$B$417,"0.0")&amp;"/5) than to university students ("&amp;TEXT(Analysis!$B$418,"0.0")&amp;"/5)."</f>
        <v>A virtual pet appeals more to secondary students (average 3.9/5) than to university students (3.5/5).</v>
      </c>
      <c r="D6" s="9" t="s">
        <v>29</v>
      </c>
    </row>
    <row r="7" spans="1:4" ht="48" customHeight="1" x14ac:dyDescent="0.25">
      <c r="A7" s="4">
        <v>4</v>
      </c>
      <c r="B7" s="4" t="s">
        <v>26</v>
      </c>
      <c r="C7" s="8" t="str">
        <f>"Only "&amp;TEXT(Analysis!$C$100,"0%")&amp;" are comfortable with face sign-in."</f>
        <v>Only 43% are comfortable with face sign-in.</v>
      </c>
      <c r="D7" s="9" t="s">
        <v>30</v>
      </c>
    </row>
    <row r="8" spans="1:4" ht="48" customHeight="1" x14ac:dyDescent="0.25">
      <c r="A8" s="4">
        <v>5</v>
      </c>
      <c r="B8" s="4" t="s">
        <v>31</v>
      </c>
      <c r="C8" s="8" t="str">
        <f>"Most staff plan by experience or headcount ("&amp;TEXT(Analysis!$C$132+Analysis!$C$133,"0%")&amp;"), and only "&amp;TEXT(Analysis!$C$154,"0%")&amp;" know accurately which dishes come back."</f>
        <v>Most staff plan by experience or headcount (83%), and only 21% know accurately which dishes come back.</v>
      </c>
      <c r="D8" s="9" t="s">
        <v>32</v>
      </c>
    </row>
    <row r="9" spans="1:4" ht="48" customHeight="1" x14ac:dyDescent="0.25">
      <c r="A9" s="4">
        <v>6</v>
      </c>
      <c r="B9" s="4" t="s">
        <v>31</v>
      </c>
      <c r="C9" s="8" t="str">
        <f>"Staff estimate "&amp;TEXT(Analysis!$B$146,"0")&amp;"% of cooked food is thrown away, and spend "&amp;TEXT(Analysis!$B$183,"0")&amp;" minutes a day planning quantities."</f>
        <v>Staff estimate 21% of cooked food is thrown away, and spend 34 minutes a day planning quantities.</v>
      </c>
      <c r="D9" s="9" t="s">
        <v>33</v>
      </c>
    </row>
    <row r="10" spans="1:4" ht="48" customHeight="1" x14ac:dyDescent="0.25">
      <c r="A10" s="4">
        <v>7</v>
      </c>
      <c r="B10" s="4" t="s">
        <v>31</v>
      </c>
      <c r="C10" s="8" t="str">
        <f>"A suggested order is rated useful by "&amp;TEXT(Analysis!$C$191,"0%")&amp;" and waste by dish by "&amp;TEXT(Analysis!$C$192,"0%")&amp;", but "&amp;TEXT(Analysis!$C$194,"0%")&amp;" worry about extra workload."</f>
        <v>A suggested order is rated useful by 75% and waste by dish by 67%, but 42% worry about extra workload.</v>
      </c>
      <c r="D10" s="9" t="s">
        <v>34</v>
      </c>
    </row>
    <row r="11" spans="1:4" ht="48" customHeight="1" x14ac:dyDescent="0.25">
      <c r="A11" s="4">
        <v>8</v>
      </c>
      <c r="B11" s="4" t="s">
        <v>35</v>
      </c>
      <c r="C11" s="8" t="str">
        <f>"Only "&amp;TEXT(Analysis!$C$293,"0%")&amp;" of hospital staff trust their intake records, and staff spend "&amp;TEXT(Analysis!$B$240,"0")&amp;" minutes a shift documenting intake."</f>
        <v>Only 22% of hospital staff trust their intake records, and staff spend 30 minutes a shift documenting intake.</v>
      </c>
      <c r="D11" s="9" t="s">
        <v>36</v>
      </c>
    </row>
    <row r="12" spans="1:4" ht="48" customHeight="1" x14ac:dyDescent="0.25">
      <c r="A12" s="4">
        <v>9</v>
      </c>
      <c r="B12" s="4" t="s">
        <v>35</v>
      </c>
      <c r="C12" s="8" t="str">
        <f>"Patients who stop eating are noticed the same day in only "&amp;TEXT(Analysis!$C$248,"0%")&amp;" of cases."</f>
        <v>Patients who stop eating are noticed the same day in only 14% of cases.</v>
      </c>
      <c r="D12" s="9" t="s">
        <v>37</v>
      </c>
    </row>
    <row r="13" spans="1:4" ht="48" customHeight="1" x14ac:dyDescent="0.25">
      <c r="A13" s="4">
        <v>10</v>
      </c>
      <c r="B13" s="4" t="s">
        <v>35</v>
      </c>
      <c r="C13" s="8" t="str">
        <f>"Automatic intake records are rated useful by "&amp;TEXT(Analysis!$C$294,"0%")&amp;"; "&amp;TEXT(Analysis!$C$279,"0%")&amp;" say patients would benefit from choosing tomorrow’s meals."</f>
        <v>Automatic intake records are rated useful by 83%; 61% say patients would benefit from choosing tomorrow’s meals.</v>
      </c>
      <c r="D13" s="9" t="s">
        <v>38</v>
      </c>
    </row>
    <row r="14" spans="1:4" ht="48" customHeight="1" x14ac:dyDescent="0.25">
      <c r="A14" s="4">
        <v>11</v>
      </c>
      <c r="B14" s="4" t="s">
        <v>39</v>
      </c>
      <c r="C14" s="8" t="str">
        <f>"Only "&amp;TEXT(Analysis!$C$402,"0%")&amp;" of office workers know the nutrients in their lunch, and "&amp;TEXT(Analysis!$C$354+Analysis!$C$355,"0%")&amp;" feel an afternoon energy dip often or daily."</f>
        <v>Only 15% of office workers know the nutrients in their lunch, and 43% feel an afternoon energy dip often or daily.</v>
      </c>
      <c r="D14" s="9" t="s">
        <v>40</v>
      </c>
    </row>
    <row r="15" spans="1:4" ht="48" customHeight="1" x14ac:dyDescent="0.25">
      <c r="A15" s="4">
        <v>12</v>
      </c>
      <c r="B15" s="4" t="s">
        <v>39</v>
      </c>
      <c r="C15" s="8" t="str">
        <f>TEXT(Analysis!$C$367,"0%")&amp;" would pre-order lunch to skip a typical "&amp;TEXT(Analysis!$B$394,"0")&amp;"-minute queue."</f>
        <v>64% would pre-order lunch to skip a typical 10-minute queue.</v>
      </c>
      <c r="D15" s="9" t="s">
        <v>41</v>
      </c>
    </row>
    <row r="16" spans="1:4" ht="48" customHeight="1" x14ac:dyDescent="0.25">
      <c r="A16" s="4">
        <v>13</v>
      </c>
      <c r="B16" s="4" t="s">
        <v>39</v>
      </c>
      <c r="C16" s="8" t="str">
        <f>"Only "&amp;TEXT(Analysis!$C$381,"0%")&amp;" would share meal data with their employer; "&amp;TEXT(Analysis!$C$382,"0%")&amp;" would share anonymous totals only."</f>
        <v>Only 13% would share meal data with their employer; 56% would share anonymous totals only.</v>
      </c>
      <c r="D16" s="9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7" customWidth="1"/>
    <col min="3" max="3" width="60" customWidth="1"/>
    <col min="4" max="4" width="14" customWidth="1"/>
    <col min="5" max="5" width="60" customWidth="1"/>
  </cols>
  <sheetData>
    <row r="1" spans="1:5" x14ac:dyDescent="0.25">
      <c r="A1" s="7" t="s">
        <v>23</v>
      </c>
      <c r="B1" s="7" t="s">
        <v>43</v>
      </c>
      <c r="C1" s="7" t="s">
        <v>44</v>
      </c>
      <c r="D1" s="7" t="s">
        <v>45</v>
      </c>
      <c r="E1" s="7" t="s">
        <v>46</v>
      </c>
    </row>
    <row r="2" spans="1:5" ht="28.5" x14ac:dyDescent="0.25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</row>
    <row r="3" spans="1:5" ht="28.5" x14ac:dyDescent="0.25">
      <c r="A3" s="8" t="s">
        <v>47</v>
      </c>
      <c r="B3" s="8" t="s">
        <v>52</v>
      </c>
      <c r="C3" s="8" t="s">
        <v>53</v>
      </c>
      <c r="D3" s="8" t="s">
        <v>50</v>
      </c>
      <c r="E3" s="8" t="s">
        <v>54</v>
      </c>
    </row>
    <row r="4" spans="1:5" ht="28.5" x14ac:dyDescent="0.25">
      <c r="A4" s="8" t="s">
        <v>47</v>
      </c>
      <c r="B4" s="8" t="s">
        <v>55</v>
      </c>
      <c r="C4" s="8" t="s">
        <v>56</v>
      </c>
      <c r="D4" s="8" t="s">
        <v>50</v>
      </c>
      <c r="E4" s="8" t="s">
        <v>57</v>
      </c>
    </row>
    <row r="5" spans="1:5" ht="28.5" x14ac:dyDescent="0.25">
      <c r="A5" s="8" t="s">
        <v>47</v>
      </c>
      <c r="B5" s="8" t="s">
        <v>58</v>
      </c>
      <c r="C5" s="8" t="s">
        <v>59</v>
      </c>
      <c r="D5" s="8" t="s">
        <v>50</v>
      </c>
      <c r="E5" s="8" t="s">
        <v>60</v>
      </c>
    </row>
    <row r="6" spans="1:5" ht="28.5" x14ac:dyDescent="0.25">
      <c r="A6" s="8" t="s">
        <v>47</v>
      </c>
      <c r="B6" s="8" t="s">
        <v>61</v>
      </c>
      <c r="C6" s="8" t="s">
        <v>62</v>
      </c>
      <c r="D6" s="8" t="s">
        <v>50</v>
      </c>
      <c r="E6" s="8" t="s">
        <v>63</v>
      </c>
    </row>
    <row r="7" spans="1:5" ht="28.5" x14ac:dyDescent="0.25">
      <c r="A7" s="8" t="s">
        <v>47</v>
      </c>
      <c r="B7" s="8" t="s">
        <v>64</v>
      </c>
      <c r="C7" s="8" t="s">
        <v>65</v>
      </c>
      <c r="D7" s="8" t="s">
        <v>66</v>
      </c>
      <c r="E7" s="8" t="s">
        <v>67</v>
      </c>
    </row>
    <row r="8" spans="1:5" ht="28.5" x14ac:dyDescent="0.25">
      <c r="A8" s="8" t="s">
        <v>47</v>
      </c>
      <c r="B8" s="8" t="s">
        <v>68</v>
      </c>
      <c r="C8" s="8" t="s">
        <v>69</v>
      </c>
      <c r="D8" s="8" t="s">
        <v>50</v>
      </c>
      <c r="E8" s="8" t="s">
        <v>70</v>
      </c>
    </row>
    <row r="9" spans="1:5" ht="28.5" x14ac:dyDescent="0.25">
      <c r="A9" s="8" t="s">
        <v>47</v>
      </c>
      <c r="B9" s="8" t="s">
        <v>71</v>
      </c>
      <c r="C9" s="8" t="s">
        <v>72</v>
      </c>
      <c r="D9" s="8" t="s">
        <v>66</v>
      </c>
      <c r="E9" s="8" t="s">
        <v>67</v>
      </c>
    </row>
    <row r="10" spans="1:5" ht="28.5" x14ac:dyDescent="0.25">
      <c r="A10" s="8" t="s">
        <v>47</v>
      </c>
      <c r="B10" s="8" t="s">
        <v>73</v>
      </c>
      <c r="C10" s="8" t="s">
        <v>74</v>
      </c>
      <c r="D10" s="8" t="s">
        <v>66</v>
      </c>
      <c r="E10" s="8" t="s">
        <v>67</v>
      </c>
    </row>
    <row r="11" spans="1:5" ht="28.5" x14ac:dyDescent="0.25">
      <c r="A11" s="8" t="s">
        <v>47</v>
      </c>
      <c r="B11" s="8" t="s">
        <v>75</v>
      </c>
      <c r="C11" s="8" t="s">
        <v>76</v>
      </c>
      <c r="D11" s="8" t="s">
        <v>66</v>
      </c>
      <c r="E11" s="8" t="s">
        <v>67</v>
      </c>
    </row>
    <row r="12" spans="1:5" ht="28.5" x14ac:dyDescent="0.25">
      <c r="A12" s="8" t="s">
        <v>47</v>
      </c>
      <c r="B12" s="8" t="s">
        <v>77</v>
      </c>
      <c r="C12" s="8" t="s">
        <v>78</v>
      </c>
      <c r="D12" s="8" t="s">
        <v>79</v>
      </c>
      <c r="E12" s="8" t="s">
        <v>80</v>
      </c>
    </row>
    <row r="13" spans="1:5" x14ac:dyDescent="0.25">
      <c r="A13" s="8" t="s">
        <v>81</v>
      </c>
      <c r="B13" s="8" t="s">
        <v>82</v>
      </c>
      <c r="C13" s="8" t="s">
        <v>83</v>
      </c>
      <c r="D13" s="8" t="s">
        <v>50</v>
      </c>
      <c r="E13" s="8" t="s">
        <v>84</v>
      </c>
    </row>
    <row r="14" spans="1:5" ht="28.5" x14ac:dyDescent="0.25">
      <c r="A14" s="8" t="s">
        <v>81</v>
      </c>
      <c r="B14" s="8" t="s">
        <v>85</v>
      </c>
      <c r="C14" s="8" t="s">
        <v>86</v>
      </c>
      <c r="D14" s="8" t="s">
        <v>50</v>
      </c>
      <c r="E14" s="8" t="s">
        <v>87</v>
      </c>
    </row>
    <row r="15" spans="1:5" ht="28.5" x14ac:dyDescent="0.25">
      <c r="A15" s="8" t="s">
        <v>81</v>
      </c>
      <c r="B15" s="8" t="s">
        <v>88</v>
      </c>
      <c r="C15" s="8" t="s">
        <v>89</v>
      </c>
      <c r="D15" s="8" t="s">
        <v>90</v>
      </c>
      <c r="E15" s="8" t="s">
        <v>90</v>
      </c>
    </row>
    <row r="16" spans="1:5" x14ac:dyDescent="0.25">
      <c r="A16" s="8" t="s">
        <v>81</v>
      </c>
      <c r="B16" s="8" t="s">
        <v>91</v>
      </c>
      <c r="C16" s="8" t="s">
        <v>92</v>
      </c>
      <c r="D16" s="8" t="s">
        <v>50</v>
      </c>
      <c r="E16" s="8" t="s">
        <v>93</v>
      </c>
    </row>
    <row r="17" spans="1:5" x14ac:dyDescent="0.25">
      <c r="A17" s="8" t="s">
        <v>81</v>
      </c>
      <c r="B17" s="8" t="s">
        <v>94</v>
      </c>
      <c r="C17" s="8" t="s">
        <v>95</v>
      </c>
      <c r="D17" s="8" t="s">
        <v>50</v>
      </c>
      <c r="E17" s="8" t="s">
        <v>96</v>
      </c>
    </row>
    <row r="18" spans="1:5" ht="28.5" x14ac:dyDescent="0.25">
      <c r="A18" s="8" t="s">
        <v>81</v>
      </c>
      <c r="B18" s="8" t="s">
        <v>97</v>
      </c>
      <c r="C18" s="8" t="s">
        <v>98</v>
      </c>
      <c r="D18" s="8" t="s">
        <v>66</v>
      </c>
      <c r="E18" s="8" t="s">
        <v>99</v>
      </c>
    </row>
    <row r="19" spans="1:5" x14ac:dyDescent="0.25">
      <c r="A19" s="8" t="s">
        <v>81</v>
      </c>
      <c r="B19" s="8" t="s">
        <v>100</v>
      </c>
      <c r="C19" s="8" t="s">
        <v>101</v>
      </c>
      <c r="D19" s="8" t="s">
        <v>66</v>
      </c>
      <c r="E19" s="8" t="s">
        <v>99</v>
      </c>
    </row>
    <row r="20" spans="1:5" x14ac:dyDescent="0.25">
      <c r="A20" s="8" t="s">
        <v>81</v>
      </c>
      <c r="B20" s="8" t="s">
        <v>102</v>
      </c>
      <c r="C20" s="8" t="s">
        <v>103</v>
      </c>
      <c r="D20" s="8" t="s">
        <v>66</v>
      </c>
      <c r="E20" s="8" t="s">
        <v>99</v>
      </c>
    </row>
    <row r="21" spans="1:5" ht="28.5" x14ac:dyDescent="0.25">
      <c r="A21" s="8" t="s">
        <v>81</v>
      </c>
      <c r="B21" s="8" t="s">
        <v>104</v>
      </c>
      <c r="C21" s="8" t="s">
        <v>105</v>
      </c>
      <c r="D21" s="8" t="s">
        <v>90</v>
      </c>
      <c r="E21" s="8" t="s">
        <v>90</v>
      </c>
    </row>
    <row r="22" spans="1:5" x14ac:dyDescent="0.25">
      <c r="A22" s="8" t="s">
        <v>81</v>
      </c>
      <c r="B22" s="8" t="s">
        <v>106</v>
      </c>
      <c r="C22" s="8" t="s">
        <v>107</v>
      </c>
      <c r="D22" s="8" t="s">
        <v>66</v>
      </c>
      <c r="E22" s="8" t="s">
        <v>67</v>
      </c>
    </row>
    <row r="23" spans="1:5" x14ac:dyDescent="0.25">
      <c r="A23" s="8" t="s">
        <v>81</v>
      </c>
      <c r="B23" s="8" t="s">
        <v>108</v>
      </c>
      <c r="C23" s="8" t="s">
        <v>109</v>
      </c>
      <c r="D23" s="8" t="s">
        <v>79</v>
      </c>
      <c r="E23" s="8" t="s">
        <v>80</v>
      </c>
    </row>
    <row r="24" spans="1:5" ht="28.5" x14ac:dyDescent="0.25">
      <c r="A24" s="8" t="s">
        <v>110</v>
      </c>
      <c r="B24" s="8" t="s">
        <v>111</v>
      </c>
      <c r="C24" s="8" t="s">
        <v>83</v>
      </c>
      <c r="D24" s="8" t="s">
        <v>50</v>
      </c>
      <c r="E24" s="8" t="s">
        <v>112</v>
      </c>
    </row>
    <row r="25" spans="1:5" ht="28.5" x14ac:dyDescent="0.25">
      <c r="A25" s="8" t="s">
        <v>110</v>
      </c>
      <c r="B25" s="8" t="s">
        <v>113</v>
      </c>
      <c r="C25" s="8" t="s">
        <v>114</v>
      </c>
      <c r="D25" s="8" t="s">
        <v>50</v>
      </c>
      <c r="E25" s="8" t="s">
        <v>115</v>
      </c>
    </row>
    <row r="26" spans="1:5" ht="28.5" x14ac:dyDescent="0.25">
      <c r="A26" s="8" t="s">
        <v>110</v>
      </c>
      <c r="B26" s="8" t="s">
        <v>116</v>
      </c>
      <c r="C26" s="8" t="s">
        <v>117</v>
      </c>
      <c r="D26" s="8" t="s">
        <v>66</v>
      </c>
      <c r="E26" s="8" t="s">
        <v>67</v>
      </c>
    </row>
    <row r="27" spans="1:5" ht="28.5" x14ac:dyDescent="0.25">
      <c r="A27" s="8" t="s">
        <v>110</v>
      </c>
      <c r="B27" s="8" t="s">
        <v>118</v>
      </c>
      <c r="C27" s="8" t="s">
        <v>119</v>
      </c>
      <c r="D27" s="8" t="s">
        <v>90</v>
      </c>
      <c r="E27" s="8" t="s">
        <v>90</v>
      </c>
    </row>
    <row r="28" spans="1:5" ht="28.5" x14ac:dyDescent="0.25">
      <c r="A28" s="8" t="s">
        <v>110</v>
      </c>
      <c r="B28" s="8" t="s">
        <v>120</v>
      </c>
      <c r="C28" s="8" t="s">
        <v>121</v>
      </c>
      <c r="D28" s="8" t="s">
        <v>50</v>
      </c>
      <c r="E28" s="8" t="s">
        <v>122</v>
      </c>
    </row>
    <row r="29" spans="1:5" ht="28.5" x14ac:dyDescent="0.25">
      <c r="A29" s="8" t="s">
        <v>110</v>
      </c>
      <c r="B29" s="8" t="s">
        <v>123</v>
      </c>
      <c r="C29" s="8" t="s">
        <v>124</v>
      </c>
      <c r="D29" s="8" t="s">
        <v>50</v>
      </c>
      <c r="E29" s="8" t="s">
        <v>125</v>
      </c>
    </row>
    <row r="30" spans="1:5" ht="28.5" x14ac:dyDescent="0.25">
      <c r="A30" s="8" t="s">
        <v>110</v>
      </c>
      <c r="B30" s="8" t="s">
        <v>126</v>
      </c>
      <c r="C30" s="8" t="s">
        <v>127</v>
      </c>
      <c r="D30" s="8" t="s">
        <v>66</v>
      </c>
      <c r="E30" s="8" t="s">
        <v>99</v>
      </c>
    </row>
    <row r="31" spans="1:5" ht="28.5" x14ac:dyDescent="0.25">
      <c r="A31" s="8" t="s">
        <v>110</v>
      </c>
      <c r="B31" s="8" t="s">
        <v>128</v>
      </c>
      <c r="C31" s="8" t="s">
        <v>129</v>
      </c>
      <c r="D31" s="8" t="s">
        <v>66</v>
      </c>
      <c r="E31" s="8" t="s">
        <v>99</v>
      </c>
    </row>
    <row r="32" spans="1:5" ht="28.5" x14ac:dyDescent="0.25">
      <c r="A32" s="8" t="s">
        <v>110</v>
      </c>
      <c r="B32" s="8" t="s">
        <v>130</v>
      </c>
      <c r="C32" s="8" t="s">
        <v>131</v>
      </c>
      <c r="D32" s="8" t="s">
        <v>50</v>
      </c>
      <c r="E32" s="8" t="s">
        <v>60</v>
      </c>
    </row>
    <row r="33" spans="1:5" ht="28.5" x14ac:dyDescent="0.25">
      <c r="A33" s="8" t="s">
        <v>110</v>
      </c>
      <c r="B33" s="8" t="s">
        <v>132</v>
      </c>
      <c r="C33" s="8" t="s">
        <v>109</v>
      </c>
      <c r="D33" s="8" t="s">
        <v>79</v>
      </c>
      <c r="E33" s="8" t="s">
        <v>80</v>
      </c>
    </row>
    <row r="34" spans="1:5" x14ac:dyDescent="0.25">
      <c r="A34" s="8" t="s">
        <v>133</v>
      </c>
      <c r="B34" s="8" t="s">
        <v>134</v>
      </c>
      <c r="C34" s="8" t="s">
        <v>135</v>
      </c>
      <c r="D34" s="8" t="s">
        <v>50</v>
      </c>
      <c r="E34" s="8" t="s">
        <v>136</v>
      </c>
    </row>
    <row r="35" spans="1:5" x14ac:dyDescent="0.25">
      <c r="A35" s="8" t="s">
        <v>133</v>
      </c>
      <c r="B35" s="8" t="s">
        <v>137</v>
      </c>
      <c r="C35" s="8" t="s">
        <v>138</v>
      </c>
      <c r="D35" s="8" t="s">
        <v>90</v>
      </c>
      <c r="E35" s="8" t="s">
        <v>90</v>
      </c>
    </row>
    <row r="36" spans="1:5" ht="28.5" x14ac:dyDescent="0.25">
      <c r="A36" s="8" t="s">
        <v>133</v>
      </c>
      <c r="B36" s="8" t="s">
        <v>139</v>
      </c>
      <c r="C36" s="8" t="s">
        <v>140</v>
      </c>
      <c r="D36" s="8" t="s">
        <v>50</v>
      </c>
      <c r="E36" s="8" t="s">
        <v>141</v>
      </c>
    </row>
    <row r="37" spans="1:5" x14ac:dyDescent="0.25">
      <c r="A37" s="8" t="s">
        <v>133</v>
      </c>
      <c r="B37" s="8" t="s">
        <v>142</v>
      </c>
      <c r="C37" s="8" t="s">
        <v>143</v>
      </c>
      <c r="D37" s="8" t="s">
        <v>66</v>
      </c>
      <c r="E37" s="8" t="s">
        <v>67</v>
      </c>
    </row>
    <row r="38" spans="1:5" x14ac:dyDescent="0.25">
      <c r="A38" s="8" t="s">
        <v>133</v>
      </c>
      <c r="B38" s="8" t="s">
        <v>144</v>
      </c>
      <c r="C38" s="8" t="s">
        <v>145</v>
      </c>
      <c r="D38" s="8" t="s">
        <v>50</v>
      </c>
      <c r="E38" s="8" t="s">
        <v>146</v>
      </c>
    </row>
    <row r="39" spans="1:5" x14ac:dyDescent="0.25">
      <c r="A39" s="8" t="s">
        <v>133</v>
      </c>
      <c r="B39" s="8" t="s">
        <v>147</v>
      </c>
      <c r="C39" s="8" t="s">
        <v>148</v>
      </c>
      <c r="D39" s="8" t="s">
        <v>50</v>
      </c>
      <c r="E39" s="8" t="s">
        <v>60</v>
      </c>
    </row>
    <row r="40" spans="1:5" x14ac:dyDescent="0.25">
      <c r="A40" s="8" t="s">
        <v>133</v>
      </c>
      <c r="B40" s="8" t="s">
        <v>149</v>
      </c>
      <c r="C40" s="8" t="s">
        <v>150</v>
      </c>
      <c r="D40" s="8" t="s">
        <v>66</v>
      </c>
      <c r="E40" s="8" t="s">
        <v>99</v>
      </c>
    </row>
    <row r="41" spans="1:5" x14ac:dyDescent="0.25">
      <c r="A41" s="8" t="s">
        <v>133</v>
      </c>
      <c r="B41" s="8" t="s">
        <v>151</v>
      </c>
      <c r="C41" s="8" t="s">
        <v>152</v>
      </c>
      <c r="D41" s="8" t="s">
        <v>50</v>
      </c>
      <c r="E41" s="8" t="s">
        <v>153</v>
      </c>
    </row>
    <row r="42" spans="1:5" x14ac:dyDescent="0.25">
      <c r="A42" s="8" t="s">
        <v>133</v>
      </c>
      <c r="B42" s="8" t="s">
        <v>154</v>
      </c>
      <c r="C42" s="8" t="s">
        <v>155</v>
      </c>
      <c r="D42" s="8" t="s">
        <v>90</v>
      </c>
      <c r="E42" s="8" t="s">
        <v>90</v>
      </c>
    </row>
    <row r="43" spans="1:5" x14ac:dyDescent="0.25">
      <c r="A43" s="8" t="s">
        <v>133</v>
      </c>
      <c r="B43" s="8" t="s">
        <v>156</v>
      </c>
      <c r="C43" s="8" t="s">
        <v>109</v>
      </c>
      <c r="D43" s="8" t="s">
        <v>79</v>
      </c>
      <c r="E43" s="8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2" width="24" customWidth="1"/>
  </cols>
  <sheetData>
    <row r="1" spans="1:12" x14ac:dyDescent="0.25">
      <c r="A1" s="7" t="s">
        <v>157</v>
      </c>
      <c r="B1" s="7" t="s">
        <v>48</v>
      </c>
      <c r="C1" s="7" t="s">
        <v>52</v>
      </c>
      <c r="D1" s="7" t="s">
        <v>55</v>
      </c>
      <c r="E1" s="7" t="s">
        <v>58</v>
      </c>
      <c r="F1" s="7" t="s">
        <v>61</v>
      </c>
      <c r="G1" s="7" t="s">
        <v>64</v>
      </c>
      <c r="H1" s="7" t="s">
        <v>68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12" x14ac:dyDescent="0.25">
      <c r="A2" s="5" t="s">
        <v>158</v>
      </c>
      <c r="B2" s="5" t="s">
        <v>159</v>
      </c>
      <c r="C2" s="5" t="s">
        <v>160</v>
      </c>
      <c r="D2" s="5" t="s">
        <v>161</v>
      </c>
      <c r="E2" s="5" t="s">
        <v>162</v>
      </c>
      <c r="F2" s="5" t="s">
        <v>163</v>
      </c>
      <c r="G2" s="5">
        <v>3</v>
      </c>
      <c r="H2" s="5" t="s">
        <v>164</v>
      </c>
      <c r="I2" s="5">
        <v>4</v>
      </c>
      <c r="J2" s="5">
        <v>5</v>
      </c>
      <c r="K2" s="5">
        <v>3</v>
      </c>
      <c r="L2" s="5"/>
    </row>
    <row r="3" spans="1:12" x14ac:dyDescent="0.25">
      <c r="A3" s="5" t="s">
        <v>165</v>
      </c>
      <c r="B3" s="5" t="s">
        <v>166</v>
      </c>
      <c r="C3" s="5" t="s">
        <v>167</v>
      </c>
      <c r="D3" s="5" t="s">
        <v>161</v>
      </c>
      <c r="E3" s="5" t="s">
        <v>163</v>
      </c>
      <c r="F3" s="5" t="s">
        <v>162</v>
      </c>
      <c r="G3" s="5">
        <v>2</v>
      </c>
      <c r="H3" s="5" t="s">
        <v>168</v>
      </c>
      <c r="I3" s="5">
        <v>3</v>
      </c>
      <c r="J3" s="5">
        <v>5</v>
      </c>
      <c r="K3" s="5">
        <v>4</v>
      </c>
      <c r="L3" s="5"/>
    </row>
    <row r="4" spans="1:12" x14ac:dyDescent="0.25">
      <c r="A4" s="5" t="s">
        <v>169</v>
      </c>
      <c r="B4" s="5" t="s">
        <v>159</v>
      </c>
      <c r="C4" s="5" t="s">
        <v>170</v>
      </c>
      <c r="D4" s="5" t="s">
        <v>171</v>
      </c>
      <c r="E4" s="5" t="s">
        <v>162</v>
      </c>
      <c r="F4" s="5" t="s">
        <v>162</v>
      </c>
      <c r="G4" s="5">
        <v>5</v>
      </c>
      <c r="H4" s="5" t="s">
        <v>164</v>
      </c>
      <c r="I4" s="5">
        <v>2</v>
      </c>
      <c r="J4" s="5">
        <v>3</v>
      </c>
      <c r="K4" s="5">
        <v>3</v>
      </c>
      <c r="L4" s="5" t="s">
        <v>172</v>
      </c>
    </row>
    <row r="5" spans="1:12" x14ac:dyDescent="0.25">
      <c r="A5" s="5" t="s">
        <v>173</v>
      </c>
      <c r="B5" s="5" t="s">
        <v>159</v>
      </c>
      <c r="C5" s="5" t="s">
        <v>160</v>
      </c>
      <c r="D5" s="5" t="s">
        <v>174</v>
      </c>
      <c r="E5" s="5" t="s">
        <v>163</v>
      </c>
      <c r="F5" s="5" t="s">
        <v>162</v>
      </c>
      <c r="G5" s="5">
        <v>3</v>
      </c>
      <c r="H5" s="5" t="s">
        <v>164</v>
      </c>
      <c r="I5" s="5">
        <v>3</v>
      </c>
      <c r="J5" s="5">
        <v>5</v>
      </c>
      <c r="K5" s="5">
        <v>3</v>
      </c>
      <c r="L5" s="5"/>
    </row>
    <row r="6" spans="1:12" x14ac:dyDescent="0.25">
      <c r="A6" s="5" t="s">
        <v>175</v>
      </c>
      <c r="B6" s="5" t="s">
        <v>159</v>
      </c>
      <c r="C6" s="5" t="s">
        <v>167</v>
      </c>
      <c r="D6" s="5" t="s">
        <v>176</v>
      </c>
      <c r="E6" s="5" t="s">
        <v>162</v>
      </c>
      <c r="F6" s="5" t="s">
        <v>163</v>
      </c>
      <c r="G6" s="5">
        <v>4</v>
      </c>
      <c r="H6" s="5" t="s">
        <v>168</v>
      </c>
      <c r="I6" s="5">
        <v>4</v>
      </c>
      <c r="J6" s="5">
        <v>5</v>
      </c>
      <c r="K6" s="5">
        <v>3</v>
      </c>
      <c r="L6" s="5"/>
    </row>
    <row r="7" spans="1:12" x14ac:dyDescent="0.25">
      <c r="A7" s="5" t="s">
        <v>177</v>
      </c>
      <c r="B7" s="5" t="s">
        <v>159</v>
      </c>
      <c r="C7" s="5" t="s">
        <v>167</v>
      </c>
      <c r="D7" s="5" t="s">
        <v>176</v>
      </c>
      <c r="E7" s="5" t="s">
        <v>162</v>
      </c>
      <c r="F7" s="5" t="s">
        <v>160</v>
      </c>
      <c r="G7" s="5">
        <v>4</v>
      </c>
      <c r="H7" s="5" t="s">
        <v>168</v>
      </c>
      <c r="I7" s="5">
        <v>4</v>
      </c>
      <c r="J7" s="5">
        <v>2</v>
      </c>
      <c r="K7" s="5">
        <v>5</v>
      </c>
      <c r="L7" s="5"/>
    </row>
    <row r="8" spans="1:12" x14ac:dyDescent="0.25">
      <c r="A8" s="5" t="s">
        <v>178</v>
      </c>
      <c r="B8" s="5" t="s">
        <v>159</v>
      </c>
      <c r="C8" s="5" t="s">
        <v>167</v>
      </c>
      <c r="D8" s="5" t="s">
        <v>174</v>
      </c>
      <c r="E8" s="5" t="s">
        <v>179</v>
      </c>
      <c r="F8" s="5" t="s">
        <v>162</v>
      </c>
      <c r="G8" s="5">
        <v>5</v>
      </c>
      <c r="H8" s="5" t="s">
        <v>180</v>
      </c>
      <c r="I8" s="5">
        <v>4</v>
      </c>
      <c r="J8" s="5">
        <v>5</v>
      </c>
      <c r="K8" s="5">
        <v>3</v>
      </c>
      <c r="L8" s="5"/>
    </row>
    <row r="9" spans="1:12" x14ac:dyDescent="0.25">
      <c r="A9" s="5" t="s">
        <v>181</v>
      </c>
      <c r="B9" s="5" t="s">
        <v>166</v>
      </c>
      <c r="C9" s="5" t="s">
        <v>167</v>
      </c>
      <c r="D9" s="5" t="s">
        <v>161</v>
      </c>
      <c r="E9" s="5" t="s">
        <v>163</v>
      </c>
      <c r="F9" s="5" t="s">
        <v>162</v>
      </c>
      <c r="G9" s="5">
        <v>1</v>
      </c>
      <c r="H9" s="5" t="s">
        <v>180</v>
      </c>
      <c r="I9" s="5">
        <v>5</v>
      </c>
      <c r="J9" s="5">
        <v>5</v>
      </c>
      <c r="K9" s="5">
        <v>4</v>
      </c>
      <c r="L9" s="5"/>
    </row>
    <row r="10" spans="1:12" x14ac:dyDescent="0.25">
      <c r="A10" s="5" t="s">
        <v>182</v>
      </c>
      <c r="B10" s="5" t="s">
        <v>159</v>
      </c>
      <c r="C10" s="5" t="s">
        <v>170</v>
      </c>
      <c r="D10" s="5" t="s">
        <v>174</v>
      </c>
      <c r="E10" s="5" t="s">
        <v>163</v>
      </c>
      <c r="F10" s="5" t="s">
        <v>160</v>
      </c>
      <c r="G10" s="5">
        <v>4</v>
      </c>
      <c r="H10" s="5" t="s">
        <v>180</v>
      </c>
      <c r="I10" s="5">
        <v>5</v>
      </c>
      <c r="J10" s="5">
        <v>1</v>
      </c>
      <c r="K10" s="5">
        <v>2</v>
      </c>
      <c r="L10" s="5"/>
    </row>
    <row r="11" spans="1:12" x14ac:dyDescent="0.25">
      <c r="A11" s="5" t="s">
        <v>183</v>
      </c>
      <c r="B11" s="5" t="s">
        <v>166</v>
      </c>
      <c r="C11" s="5" t="s">
        <v>160</v>
      </c>
      <c r="D11" s="5" t="s">
        <v>174</v>
      </c>
      <c r="E11" s="5" t="s">
        <v>162</v>
      </c>
      <c r="F11" s="5" t="s">
        <v>160</v>
      </c>
      <c r="G11" s="5">
        <v>5</v>
      </c>
      <c r="H11" s="5" t="s">
        <v>180</v>
      </c>
      <c r="I11" s="5">
        <v>3</v>
      </c>
      <c r="J11" s="5">
        <v>5</v>
      </c>
      <c r="K11" s="5">
        <v>5</v>
      </c>
      <c r="L11" s="5"/>
    </row>
    <row r="12" spans="1:12" x14ac:dyDescent="0.25">
      <c r="A12" s="5" t="s">
        <v>184</v>
      </c>
      <c r="B12" s="5" t="s">
        <v>166</v>
      </c>
      <c r="C12" s="5" t="s">
        <v>160</v>
      </c>
      <c r="D12" s="5" t="s">
        <v>185</v>
      </c>
      <c r="E12" s="5" t="s">
        <v>162</v>
      </c>
      <c r="F12" s="5" t="s">
        <v>160</v>
      </c>
      <c r="G12" s="5">
        <v>5</v>
      </c>
      <c r="H12" s="5" t="s">
        <v>180</v>
      </c>
      <c r="I12" s="5">
        <v>3</v>
      </c>
      <c r="J12" s="5">
        <v>4</v>
      </c>
      <c r="K12" s="5">
        <v>5</v>
      </c>
      <c r="L12" s="5"/>
    </row>
    <row r="13" spans="1:12" x14ac:dyDescent="0.25">
      <c r="A13" s="5" t="s">
        <v>186</v>
      </c>
      <c r="B13" s="5" t="s">
        <v>159</v>
      </c>
      <c r="C13" s="5" t="s">
        <v>170</v>
      </c>
      <c r="D13" s="5" t="s">
        <v>185</v>
      </c>
      <c r="E13" s="5" t="s">
        <v>163</v>
      </c>
      <c r="F13" s="5" t="s">
        <v>163</v>
      </c>
      <c r="G13" s="5">
        <v>5</v>
      </c>
      <c r="H13" s="5" t="s">
        <v>180</v>
      </c>
      <c r="I13" s="5">
        <v>1</v>
      </c>
      <c r="J13" s="5">
        <v>4</v>
      </c>
      <c r="K13" s="5">
        <v>4</v>
      </c>
      <c r="L13" s="5"/>
    </row>
    <row r="14" spans="1:12" x14ac:dyDescent="0.25">
      <c r="A14" s="5" t="s">
        <v>187</v>
      </c>
      <c r="B14" s="5" t="s">
        <v>166</v>
      </c>
      <c r="C14" s="5" t="s">
        <v>167</v>
      </c>
      <c r="D14" s="5" t="s">
        <v>171</v>
      </c>
      <c r="E14" s="5" t="s">
        <v>163</v>
      </c>
      <c r="F14" s="5" t="s">
        <v>162</v>
      </c>
      <c r="G14" s="5">
        <v>2</v>
      </c>
      <c r="H14" s="5" t="s">
        <v>164</v>
      </c>
      <c r="I14" s="5">
        <v>4</v>
      </c>
      <c r="J14" s="5">
        <v>3</v>
      </c>
      <c r="K14" s="5">
        <v>3</v>
      </c>
      <c r="L14" s="5" t="s">
        <v>188</v>
      </c>
    </row>
    <row r="15" spans="1:12" x14ac:dyDescent="0.25">
      <c r="A15" s="5" t="s">
        <v>189</v>
      </c>
      <c r="B15" s="5" t="s">
        <v>166</v>
      </c>
      <c r="C15" s="5" t="s">
        <v>190</v>
      </c>
      <c r="D15" s="5" t="s">
        <v>185</v>
      </c>
      <c r="E15" s="5" t="s">
        <v>163</v>
      </c>
      <c r="F15" s="5" t="s">
        <v>162</v>
      </c>
      <c r="G15" s="5">
        <v>4</v>
      </c>
      <c r="H15" s="5" t="s">
        <v>180</v>
      </c>
      <c r="I15" s="5">
        <v>1</v>
      </c>
      <c r="J15" s="5">
        <v>2</v>
      </c>
      <c r="K15" s="5">
        <v>5</v>
      </c>
      <c r="L15" s="5" t="s">
        <v>191</v>
      </c>
    </row>
    <row r="16" spans="1:12" x14ac:dyDescent="0.25">
      <c r="A16" s="5" t="s">
        <v>192</v>
      </c>
      <c r="B16" s="5" t="s">
        <v>166</v>
      </c>
      <c r="C16" s="5" t="s">
        <v>190</v>
      </c>
      <c r="D16" s="5" t="s">
        <v>171</v>
      </c>
      <c r="E16" s="5" t="s">
        <v>163</v>
      </c>
      <c r="F16" s="5" t="s">
        <v>162</v>
      </c>
      <c r="G16" s="5">
        <v>4</v>
      </c>
      <c r="H16" s="5" t="s">
        <v>180</v>
      </c>
      <c r="I16" s="5">
        <v>5</v>
      </c>
      <c r="J16" s="5">
        <v>4</v>
      </c>
      <c r="K16" s="5">
        <v>3</v>
      </c>
      <c r="L16" s="5"/>
    </row>
    <row r="17" spans="1:12" x14ac:dyDescent="0.25">
      <c r="A17" s="5" t="s">
        <v>193</v>
      </c>
      <c r="B17" s="5" t="s">
        <v>159</v>
      </c>
      <c r="C17" s="5" t="s">
        <v>160</v>
      </c>
      <c r="D17" s="5" t="s">
        <v>185</v>
      </c>
      <c r="E17" s="5" t="s">
        <v>179</v>
      </c>
      <c r="F17" s="5" t="s">
        <v>160</v>
      </c>
      <c r="G17" s="5">
        <v>3</v>
      </c>
      <c r="H17" s="5" t="s">
        <v>168</v>
      </c>
      <c r="I17" s="5">
        <v>4</v>
      </c>
      <c r="J17" s="5">
        <v>1</v>
      </c>
      <c r="K17" s="5">
        <v>4</v>
      </c>
      <c r="L17" s="5" t="s">
        <v>194</v>
      </c>
    </row>
    <row r="18" spans="1:12" x14ac:dyDescent="0.25">
      <c r="A18" s="5" t="s">
        <v>195</v>
      </c>
      <c r="B18" s="5" t="s">
        <v>166</v>
      </c>
      <c r="C18" s="5" t="s">
        <v>196</v>
      </c>
      <c r="D18" s="5" t="s">
        <v>176</v>
      </c>
      <c r="E18" s="5" t="s">
        <v>179</v>
      </c>
      <c r="F18" s="5" t="s">
        <v>162</v>
      </c>
      <c r="G18" s="5">
        <v>4</v>
      </c>
      <c r="H18" s="5" t="s">
        <v>180</v>
      </c>
      <c r="I18" s="5">
        <v>4</v>
      </c>
      <c r="J18" s="5">
        <v>3</v>
      </c>
      <c r="K18" s="5">
        <v>5</v>
      </c>
      <c r="L18" s="5"/>
    </row>
    <row r="19" spans="1:12" x14ac:dyDescent="0.25">
      <c r="A19" s="5" t="s">
        <v>197</v>
      </c>
      <c r="B19" s="5" t="s">
        <v>159</v>
      </c>
      <c r="C19" s="5" t="s">
        <v>167</v>
      </c>
      <c r="D19" s="5" t="s">
        <v>185</v>
      </c>
      <c r="E19" s="5" t="s">
        <v>163</v>
      </c>
      <c r="F19" s="5" t="s">
        <v>160</v>
      </c>
      <c r="G19" s="5">
        <v>5</v>
      </c>
      <c r="H19" s="5" t="s">
        <v>180</v>
      </c>
      <c r="I19" s="5">
        <v>3</v>
      </c>
      <c r="J19" s="5">
        <v>3</v>
      </c>
      <c r="K19" s="5">
        <v>3</v>
      </c>
      <c r="L19" s="5"/>
    </row>
    <row r="20" spans="1:12" x14ac:dyDescent="0.25">
      <c r="A20" s="5" t="s">
        <v>198</v>
      </c>
      <c r="B20" s="5" t="s">
        <v>166</v>
      </c>
      <c r="C20" s="5" t="s">
        <v>160</v>
      </c>
      <c r="D20" s="5" t="s">
        <v>185</v>
      </c>
      <c r="E20" s="5" t="s">
        <v>163</v>
      </c>
      <c r="F20" s="5" t="s">
        <v>162</v>
      </c>
      <c r="G20" s="5">
        <v>4</v>
      </c>
      <c r="H20" s="5" t="s">
        <v>164</v>
      </c>
      <c r="I20" s="5">
        <v>3</v>
      </c>
      <c r="J20" s="5">
        <v>2</v>
      </c>
      <c r="K20" s="5">
        <v>2</v>
      </c>
      <c r="L20" s="5" t="s">
        <v>199</v>
      </c>
    </row>
    <row r="21" spans="1:12" x14ac:dyDescent="0.25">
      <c r="A21" s="5" t="s">
        <v>200</v>
      </c>
      <c r="B21" s="5" t="s">
        <v>166</v>
      </c>
      <c r="C21" s="5" t="s">
        <v>160</v>
      </c>
      <c r="D21" s="5" t="s">
        <v>161</v>
      </c>
      <c r="E21" s="5" t="s">
        <v>179</v>
      </c>
      <c r="F21" s="5" t="s">
        <v>162</v>
      </c>
      <c r="G21" s="5">
        <v>4</v>
      </c>
      <c r="H21" s="5" t="s">
        <v>201</v>
      </c>
      <c r="I21" s="5">
        <v>3</v>
      </c>
      <c r="J21" s="5">
        <v>2</v>
      </c>
      <c r="K21" s="5">
        <v>4</v>
      </c>
      <c r="L21" s="5"/>
    </row>
    <row r="22" spans="1:12" x14ac:dyDescent="0.25">
      <c r="A22" s="5" t="s">
        <v>202</v>
      </c>
      <c r="B22" s="5" t="s">
        <v>159</v>
      </c>
      <c r="C22" s="5" t="s">
        <v>170</v>
      </c>
      <c r="D22" s="5" t="s">
        <v>174</v>
      </c>
      <c r="E22" s="5" t="s">
        <v>163</v>
      </c>
      <c r="F22" s="5" t="s">
        <v>160</v>
      </c>
      <c r="G22" s="5">
        <v>3</v>
      </c>
      <c r="H22" s="5" t="s">
        <v>180</v>
      </c>
      <c r="I22" s="5">
        <v>4</v>
      </c>
      <c r="J22" s="5">
        <v>4</v>
      </c>
      <c r="K22" s="5">
        <v>1</v>
      </c>
      <c r="L22" s="5" t="s">
        <v>203</v>
      </c>
    </row>
    <row r="23" spans="1:12" x14ac:dyDescent="0.25">
      <c r="A23" s="5" t="s">
        <v>204</v>
      </c>
      <c r="B23" s="5" t="s">
        <v>159</v>
      </c>
      <c r="C23" s="5" t="s">
        <v>167</v>
      </c>
      <c r="D23" s="5" t="s">
        <v>174</v>
      </c>
      <c r="E23" s="5" t="s">
        <v>179</v>
      </c>
      <c r="F23" s="5" t="s">
        <v>163</v>
      </c>
      <c r="G23" s="5">
        <v>4</v>
      </c>
      <c r="H23" s="5" t="s">
        <v>164</v>
      </c>
      <c r="I23" s="5">
        <v>4</v>
      </c>
      <c r="J23" s="5">
        <v>5</v>
      </c>
      <c r="K23" s="5">
        <v>2</v>
      </c>
      <c r="L23" s="5" t="s">
        <v>205</v>
      </c>
    </row>
    <row r="24" spans="1:12" x14ac:dyDescent="0.25">
      <c r="A24" s="5" t="s">
        <v>206</v>
      </c>
      <c r="B24" s="5" t="s">
        <v>159</v>
      </c>
      <c r="C24" s="5" t="s">
        <v>196</v>
      </c>
      <c r="D24" s="5" t="s">
        <v>176</v>
      </c>
      <c r="E24" s="5" t="s">
        <v>162</v>
      </c>
      <c r="F24" s="5" t="s">
        <v>163</v>
      </c>
      <c r="G24" s="5">
        <v>5</v>
      </c>
      <c r="H24" s="5" t="s">
        <v>180</v>
      </c>
      <c r="I24" s="5">
        <v>3</v>
      </c>
      <c r="J24" s="5">
        <v>3</v>
      </c>
      <c r="K24" s="5">
        <v>1</v>
      </c>
      <c r="L24" s="5"/>
    </row>
    <row r="25" spans="1:12" x14ac:dyDescent="0.25">
      <c r="A25" s="5" t="s">
        <v>207</v>
      </c>
      <c r="B25" s="5" t="s">
        <v>166</v>
      </c>
      <c r="C25" s="5" t="s">
        <v>167</v>
      </c>
      <c r="D25" s="5" t="s">
        <v>185</v>
      </c>
      <c r="E25" s="5" t="s">
        <v>163</v>
      </c>
      <c r="F25" s="5" t="s">
        <v>162</v>
      </c>
      <c r="G25" s="5">
        <v>4</v>
      </c>
      <c r="H25" s="5" t="s">
        <v>180</v>
      </c>
      <c r="I25" s="5">
        <v>3</v>
      </c>
      <c r="J25" s="5">
        <v>4</v>
      </c>
      <c r="K25" s="5">
        <v>4</v>
      </c>
      <c r="L25" s="5" t="s">
        <v>199</v>
      </c>
    </row>
    <row r="26" spans="1:12" x14ac:dyDescent="0.25">
      <c r="A26" s="5" t="s">
        <v>208</v>
      </c>
      <c r="B26" s="5" t="s">
        <v>166</v>
      </c>
      <c r="C26" s="5" t="s">
        <v>167</v>
      </c>
      <c r="D26" s="5" t="s">
        <v>174</v>
      </c>
      <c r="E26" s="5" t="s">
        <v>162</v>
      </c>
      <c r="F26" s="5" t="s">
        <v>162</v>
      </c>
      <c r="G26" s="5">
        <v>5</v>
      </c>
      <c r="H26" s="5" t="s">
        <v>180</v>
      </c>
      <c r="I26" s="5">
        <v>4</v>
      </c>
      <c r="J26" s="5">
        <v>4</v>
      </c>
      <c r="K26" s="5">
        <v>1</v>
      </c>
      <c r="L26" s="5"/>
    </row>
    <row r="27" spans="1:12" x14ac:dyDescent="0.25">
      <c r="A27" s="5" t="s">
        <v>209</v>
      </c>
      <c r="B27" s="5" t="s">
        <v>159</v>
      </c>
      <c r="C27" s="5" t="s">
        <v>190</v>
      </c>
      <c r="D27" s="5" t="s">
        <v>174</v>
      </c>
      <c r="E27" s="5" t="s">
        <v>163</v>
      </c>
      <c r="F27" s="5" t="s">
        <v>160</v>
      </c>
      <c r="G27" s="5">
        <v>3</v>
      </c>
      <c r="H27" s="5" t="s">
        <v>201</v>
      </c>
      <c r="I27" s="5">
        <v>4</v>
      </c>
      <c r="J27" s="5">
        <v>3</v>
      </c>
      <c r="K27" s="5">
        <v>4</v>
      </c>
      <c r="L27" s="5"/>
    </row>
    <row r="28" spans="1:12" x14ac:dyDescent="0.25">
      <c r="A28" s="5" t="s">
        <v>210</v>
      </c>
      <c r="B28" s="5" t="s">
        <v>159</v>
      </c>
      <c r="C28" s="5" t="s">
        <v>160</v>
      </c>
      <c r="D28" s="5" t="s">
        <v>185</v>
      </c>
      <c r="E28" s="5" t="s">
        <v>163</v>
      </c>
      <c r="F28" s="5" t="s">
        <v>163</v>
      </c>
      <c r="G28" s="5">
        <v>4</v>
      </c>
      <c r="H28" s="5" t="s">
        <v>168</v>
      </c>
      <c r="I28" s="5">
        <v>1</v>
      </c>
      <c r="J28" s="5">
        <v>4</v>
      </c>
      <c r="K28" s="5">
        <v>3</v>
      </c>
      <c r="L28" s="5" t="s">
        <v>211</v>
      </c>
    </row>
    <row r="29" spans="1:12" x14ac:dyDescent="0.25">
      <c r="A29" s="5" t="s">
        <v>212</v>
      </c>
      <c r="B29" s="5" t="s">
        <v>166</v>
      </c>
      <c r="C29" s="5" t="s">
        <v>167</v>
      </c>
      <c r="D29" s="5" t="s">
        <v>174</v>
      </c>
      <c r="E29" s="5" t="s">
        <v>163</v>
      </c>
      <c r="F29" s="5" t="s">
        <v>163</v>
      </c>
      <c r="G29" s="5">
        <v>4</v>
      </c>
      <c r="H29" s="5" t="s">
        <v>164</v>
      </c>
      <c r="I29" s="5">
        <v>3</v>
      </c>
      <c r="J29" s="5">
        <v>5</v>
      </c>
      <c r="K29" s="5">
        <v>4</v>
      </c>
      <c r="L29" s="5" t="s">
        <v>213</v>
      </c>
    </row>
    <row r="30" spans="1:12" x14ac:dyDescent="0.25">
      <c r="A30" s="5" t="s">
        <v>214</v>
      </c>
      <c r="B30" s="5" t="s">
        <v>159</v>
      </c>
      <c r="C30" s="5" t="s">
        <v>160</v>
      </c>
      <c r="D30" s="5" t="s">
        <v>185</v>
      </c>
      <c r="E30" s="5" t="s">
        <v>163</v>
      </c>
      <c r="F30" s="5" t="s">
        <v>162</v>
      </c>
      <c r="G30" s="5">
        <v>4</v>
      </c>
      <c r="H30" s="5" t="s">
        <v>168</v>
      </c>
      <c r="I30" s="5">
        <v>4</v>
      </c>
      <c r="J30" s="5">
        <v>4</v>
      </c>
      <c r="K30" s="5">
        <v>5</v>
      </c>
      <c r="L30" s="5"/>
    </row>
    <row r="31" spans="1:12" x14ac:dyDescent="0.25">
      <c r="A31" s="5" t="s">
        <v>215</v>
      </c>
      <c r="B31" s="5" t="s">
        <v>159</v>
      </c>
      <c r="C31" s="5" t="s">
        <v>160</v>
      </c>
      <c r="D31" s="5" t="s">
        <v>174</v>
      </c>
      <c r="E31" s="5" t="s">
        <v>163</v>
      </c>
      <c r="F31" s="5" t="s">
        <v>160</v>
      </c>
      <c r="G31" s="5">
        <v>1</v>
      </c>
      <c r="H31" s="5" t="s">
        <v>201</v>
      </c>
      <c r="I31" s="5">
        <v>4</v>
      </c>
      <c r="J31" s="5">
        <v>5</v>
      </c>
      <c r="K31" s="5">
        <v>4</v>
      </c>
      <c r="L31" s="5"/>
    </row>
    <row r="32" spans="1:12" x14ac:dyDescent="0.25">
      <c r="A32" s="5" t="s">
        <v>216</v>
      </c>
      <c r="B32" s="5" t="s">
        <v>166</v>
      </c>
      <c r="C32" s="5" t="s">
        <v>190</v>
      </c>
      <c r="D32" s="5" t="s">
        <v>161</v>
      </c>
      <c r="E32" s="5" t="s">
        <v>162</v>
      </c>
      <c r="F32" s="5" t="s">
        <v>162</v>
      </c>
      <c r="G32" s="5">
        <v>3</v>
      </c>
      <c r="H32" s="5" t="s">
        <v>168</v>
      </c>
      <c r="I32" s="5">
        <v>3</v>
      </c>
      <c r="J32" s="5">
        <v>3</v>
      </c>
      <c r="K32" s="5">
        <v>3</v>
      </c>
      <c r="L32" s="5"/>
    </row>
    <row r="33" spans="1:12" x14ac:dyDescent="0.25">
      <c r="A33" s="5" t="s">
        <v>217</v>
      </c>
      <c r="B33" s="5" t="s">
        <v>159</v>
      </c>
      <c r="C33" s="5" t="s">
        <v>160</v>
      </c>
      <c r="D33" s="5" t="s">
        <v>174</v>
      </c>
      <c r="E33" s="5" t="s">
        <v>179</v>
      </c>
      <c r="F33" s="5" t="s">
        <v>163</v>
      </c>
      <c r="G33" s="5">
        <v>4</v>
      </c>
      <c r="H33" s="5" t="s">
        <v>180</v>
      </c>
      <c r="I33" s="5">
        <v>5</v>
      </c>
      <c r="J33" s="5">
        <v>5</v>
      </c>
      <c r="K33" s="5">
        <v>5</v>
      </c>
      <c r="L33" s="5"/>
    </row>
    <row r="34" spans="1:12" x14ac:dyDescent="0.25">
      <c r="A34" s="5" t="s">
        <v>218</v>
      </c>
      <c r="B34" s="5" t="s">
        <v>166</v>
      </c>
      <c r="C34" s="5" t="s">
        <v>167</v>
      </c>
      <c r="D34" s="5" t="s">
        <v>161</v>
      </c>
      <c r="E34" s="5" t="s">
        <v>163</v>
      </c>
      <c r="F34" s="5" t="s">
        <v>162</v>
      </c>
      <c r="G34" s="5">
        <v>4</v>
      </c>
      <c r="H34" s="5" t="s">
        <v>180</v>
      </c>
      <c r="I34" s="5">
        <v>4</v>
      </c>
      <c r="J34" s="5">
        <v>5</v>
      </c>
      <c r="K34" s="5">
        <v>1</v>
      </c>
      <c r="L34" s="5"/>
    </row>
    <row r="35" spans="1:12" x14ac:dyDescent="0.25">
      <c r="A35" s="5" t="s">
        <v>219</v>
      </c>
      <c r="B35" s="5" t="s">
        <v>159</v>
      </c>
      <c r="C35" s="5" t="s">
        <v>196</v>
      </c>
      <c r="D35" s="5" t="s">
        <v>161</v>
      </c>
      <c r="E35" s="5" t="s">
        <v>163</v>
      </c>
      <c r="F35" s="5" t="s">
        <v>162</v>
      </c>
      <c r="G35" s="5">
        <v>5</v>
      </c>
      <c r="H35" s="5" t="s">
        <v>168</v>
      </c>
      <c r="I35" s="5">
        <v>5</v>
      </c>
      <c r="J35" s="5">
        <v>2</v>
      </c>
      <c r="K35" s="5">
        <v>2</v>
      </c>
      <c r="L35" s="5" t="s">
        <v>194</v>
      </c>
    </row>
    <row r="36" spans="1:12" x14ac:dyDescent="0.25">
      <c r="A36" s="5" t="s">
        <v>220</v>
      </c>
      <c r="B36" s="5" t="s">
        <v>159</v>
      </c>
      <c r="C36" s="5" t="s">
        <v>196</v>
      </c>
      <c r="D36" s="5" t="s">
        <v>161</v>
      </c>
      <c r="E36" s="5" t="s">
        <v>179</v>
      </c>
      <c r="F36" s="5" t="s">
        <v>163</v>
      </c>
      <c r="G36" s="5">
        <v>3</v>
      </c>
      <c r="H36" s="5" t="s">
        <v>164</v>
      </c>
      <c r="I36" s="5">
        <v>4</v>
      </c>
      <c r="J36" s="5">
        <v>5</v>
      </c>
      <c r="K36" s="5">
        <v>2</v>
      </c>
      <c r="L36" s="5"/>
    </row>
    <row r="37" spans="1:12" x14ac:dyDescent="0.25">
      <c r="A37" s="5" t="s">
        <v>221</v>
      </c>
      <c r="B37" s="5" t="s">
        <v>159</v>
      </c>
      <c r="C37" s="5" t="s">
        <v>160</v>
      </c>
      <c r="D37" s="5" t="s">
        <v>161</v>
      </c>
      <c r="E37" s="5" t="s">
        <v>163</v>
      </c>
      <c r="F37" s="5" t="s">
        <v>162</v>
      </c>
      <c r="G37" s="5">
        <v>5</v>
      </c>
      <c r="H37" s="5" t="s">
        <v>201</v>
      </c>
      <c r="I37" s="5">
        <v>5</v>
      </c>
      <c r="J37" s="5">
        <v>3</v>
      </c>
      <c r="K37" s="5">
        <v>3</v>
      </c>
      <c r="L37" s="5" t="s">
        <v>194</v>
      </c>
    </row>
    <row r="38" spans="1:12" x14ac:dyDescent="0.25">
      <c r="A38" s="5" t="s">
        <v>222</v>
      </c>
      <c r="B38" s="5" t="s">
        <v>159</v>
      </c>
      <c r="C38" s="5" t="s">
        <v>196</v>
      </c>
      <c r="D38" s="5" t="s">
        <v>185</v>
      </c>
      <c r="E38" s="5" t="s">
        <v>179</v>
      </c>
      <c r="F38" s="5" t="s">
        <v>160</v>
      </c>
      <c r="G38" s="5">
        <v>5</v>
      </c>
      <c r="H38" s="5" t="s">
        <v>168</v>
      </c>
      <c r="I38" s="5">
        <v>2</v>
      </c>
      <c r="J38" s="5">
        <v>3</v>
      </c>
      <c r="K38" s="5">
        <v>3</v>
      </c>
      <c r="L38" s="5"/>
    </row>
    <row r="39" spans="1:12" x14ac:dyDescent="0.25">
      <c r="A39" s="5" t="s">
        <v>223</v>
      </c>
      <c r="B39" s="5" t="s">
        <v>159</v>
      </c>
      <c r="C39" s="5" t="s">
        <v>170</v>
      </c>
      <c r="D39" s="5" t="s">
        <v>185</v>
      </c>
      <c r="E39" s="5" t="s">
        <v>163</v>
      </c>
      <c r="F39" s="5" t="s">
        <v>162</v>
      </c>
      <c r="G39" s="5">
        <v>2</v>
      </c>
      <c r="H39" s="5" t="s">
        <v>180</v>
      </c>
      <c r="I39" s="5">
        <v>4</v>
      </c>
      <c r="J39" s="5">
        <v>2</v>
      </c>
      <c r="K39" s="5">
        <v>3</v>
      </c>
      <c r="L39" s="5"/>
    </row>
    <row r="40" spans="1:12" x14ac:dyDescent="0.25">
      <c r="A40" s="5" t="s">
        <v>224</v>
      </c>
      <c r="B40" s="5" t="s">
        <v>159</v>
      </c>
      <c r="C40" s="5" t="s">
        <v>170</v>
      </c>
      <c r="D40" s="5" t="s">
        <v>185</v>
      </c>
      <c r="E40" s="5" t="s">
        <v>179</v>
      </c>
      <c r="F40" s="5" t="s">
        <v>162</v>
      </c>
      <c r="G40" s="5">
        <v>3</v>
      </c>
      <c r="H40" s="5" t="s">
        <v>180</v>
      </c>
      <c r="I40" s="5">
        <v>5</v>
      </c>
      <c r="J40" s="5">
        <v>5</v>
      </c>
      <c r="K40" s="5">
        <v>4</v>
      </c>
      <c r="L40" s="5" t="s">
        <v>211</v>
      </c>
    </row>
    <row r="41" spans="1:12" x14ac:dyDescent="0.25">
      <c r="A41" s="5" t="s">
        <v>225</v>
      </c>
      <c r="B41" s="5" t="s">
        <v>159</v>
      </c>
      <c r="C41" s="5" t="s">
        <v>160</v>
      </c>
      <c r="D41" s="5" t="s">
        <v>161</v>
      </c>
      <c r="E41" s="5" t="s">
        <v>163</v>
      </c>
      <c r="F41" s="5" t="s">
        <v>162</v>
      </c>
      <c r="G41" s="5">
        <v>4</v>
      </c>
      <c r="H41" s="5" t="s">
        <v>164</v>
      </c>
      <c r="I41" s="5">
        <v>4</v>
      </c>
      <c r="J41" s="5">
        <v>3</v>
      </c>
      <c r="K41" s="5">
        <v>3</v>
      </c>
      <c r="L41" s="5"/>
    </row>
    <row r="42" spans="1:12" x14ac:dyDescent="0.25">
      <c r="A42" s="5" t="s">
        <v>226</v>
      </c>
      <c r="B42" s="5" t="s">
        <v>166</v>
      </c>
      <c r="C42" s="5" t="s">
        <v>167</v>
      </c>
      <c r="D42" s="5" t="s">
        <v>185</v>
      </c>
      <c r="E42" s="5" t="s">
        <v>179</v>
      </c>
      <c r="F42" s="5" t="s">
        <v>162</v>
      </c>
      <c r="G42" s="5">
        <v>3</v>
      </c>
      <c r="H42" s="5" t="s">
        <v>180</v>
      </c>
      <c r="I42" s="5">
        <v>4</v>
      </c>
      <c r="J42" s="5">
        <v>5</v>
      </c>
      <c r="K42" s="5">
        <v>3</v>
      </c>
      <c r="L42" s="5" t="s">
        <v>199</v>
      </c>
    </row>
    <row r="43" spans="1:12" x14ac:dyDescent="0.25">
      <c r="A43" s="5" t="s">
        <v>227</v>
      </c>
      <c r="B43" s="5" t="s">
        <v>159</v>
      </c>
      <c r="C43" s="5" t="s">
        <v>167</v>
      </c>
      <c r="D43" s="5" t="s">
        <v>161</v>
      </c>
      <c r="E43" s="5" t="s">
        <v>163</v>
      </c>
      <c r="F43" s="5" t="s">
        <v>160</v>
      </c>
      <c r="G43" s="5">
        <v>3</v>
      </c>
      <c r="H43" s="5" t="s">
        <v>201</v>
      </c>
      <c r="I43" s="5">
        <v>4</v>
      </c>
      <c r="J43" s="5">
        <v>2</v>
      </c>
      <c r="K43" s="5">
        <v>2</v>
      </c>
      <c r="L43" s="5"/>
    </row>
    <row r="44" spans="1:12" x14ac:dyDescent="0.25">
      <c r="A44" s="5" t="s">
        <v>228</v>
      </c>
      <c r="B44" s="5" t="s">
        <v>159</v>
      </c>
      <c r="C44" s="5" t="s">
        <v>196</v>
      </c>
      <c r="D44" s="5" t="s">
        <v>174</v>
      </c>
      <c r="E44" s="5" t="s">
        <v>179</v>
      </c>
      <c r="F44" s="5" t="s">
        <v>163</v>
      </c>
      <c r="G44" s="5">
        <v>4</v>
      </c>
      <c r="H44" s="5" t="s">
        <v>201</v>
      </c>
      <c r="I44" s="5">
        <v>5</v>
      </c>
      <c r="J44" s="5">
        <v>5</v>
      </c>
      <c r="K44" s="5">
        <v>5</v>
      </c>
      <c r="L44" s="5"/>
    </row>
    <row r="45" spans="1:12" x14ac:dyDescent="0.25">
      <c r="A45" s="5" t="s">
        <v>229</v>
      </c>
      <c r="B45" s="5" t="s">
        <v>159</v>
      </c>
      <c r="C45" s="5" t="s">
        <v>170</v>
      </c>
      <c r="D45" s="5" t="s">
        <v>185</v>
      </c>
      <c r="E45" s="5" t="s">
        <v>163</v>
      </c>
      <c r="F45" s="5" t="s">
        <v>162</v>
      </c>
      <c r="G45" s="5">
        <v>4</v>
      </c>
      <c r="H45" s="5" t="s">
        <v>180</v>
      </c>
      <c r="I45" s="5">
        <v>4</v>
      </c>
      <c r="J45" s="5">
        <v>3</v>
      </c>
      <c r="K45" s="5">
        <v>3</v>
      </c>
      <c r="L45" s="5"/>
    </row>
    <row r="46" spans="1:12" x14ac:dyDescent="0.25">
      <c r="A46" s="5" t="s">
        <v>230</v>
      </c>
      <c r="B46" s="5" t="s">
        <v>159</v>
      </c>
      <c r="C46" s="5" t="s">
        <v>167</v>
      </c>
      <c r="D46" s="5" t="s">
        <v>161</v>
      </c>
      <c r="E46" s="5" t="s">
        <v>162</v>
      </c>
      <c r="F46" s="5" t="s">
        <v>163</v>
      </c>
      <c r="G46" s="5">
        <v>1</v>
      </c>
      <c r="H46" s="5" t="s">
        <v>180</v>
      </c>
      <c r="I46" s="5">
        <v>3</v>
      </c>
      <c r="J46" s="5">
        <v>5</v>
      </c>
      <c r="K46" s="5">
        <v>2</v>
      </c>
      <c r="L46" s="5" t="s">
        <v>211</v>
      </c>
    </row>
    <row r="47" spans="1:12" x14ac:dyDescent="0.25">
      <c r="A47" s="5" t="s">
        <v>231</v>
      </c>
      <c r="B47" s="5" t="s">
        <v>166</v>
      </c>
      <c r="C47" s="5" t="s">
        <v>160</v>
      </c>
      <c r="D47" s="5" t="s">
        <v>161</v>
      </c>
      <c r="E47" s="5" t="s">
        <v>163</v>
      </c>
      <c r="F47" s="5" t="s">
        <v>162</v>
      </c>
      <c r="G47" s="5">
        <v>3</v>
      </c>
      <c r="H47" s="5" t="s">
        <v>168</v>
      </c>
      <c r="I47" s="5">
        <v>5</v>
      </c>
      <c r="J47" s="5">
        <v>2</v>
      </c>
      <c r="K47" s="5">
        <v>5</v>
      </c>
      <c r="L47" s="5"/>
    </row>
    <row r="48" spans="1:12" x14ac:dyDescent="0.25">
      <c r="A48" s="5" t="s">
        <v>232</v>
      </c>
      <c r="B48" s="5" t="s">
        <v>159</v>
      </c>
      <c r="C48" s="5" t="s">
        <v>167</v>
      </c>
      <c r="D48" s="5" t="s">
        <v>174</v>
      </c>
      <c r="E48" s="5" t="s">
        <v>163</v>
      </c>
      <c r="F48" s="5" t="s">
        <v>163</v>
      </c>
      <c r="G48" s="5">
        <v>4</v>
      </c>
      <c r="H48" s="5" t="s">
        <v>164</v>
      </c>
      <c r="I48" s="5">
        <v>3</v>
      </c>
      <c r="J48" s="5">
        <v>1</v>
      </c>
      <c r="K48" s="5">
        <v>5</v>
      </c>
      <c r="L48" s="5" t="s">
        <v>194</v>
      </c>
    </row>
    <row r="49" spans="1:12" x14ac:dyDescent="0.25">
      <c r="A49" s="5" t="s">
        <v>233</v>
      </c>
      <c r="B49" s="5" t="s">
        <v>166</v>
      </c>
      <c r="C49" s="5" t="s">
        <v>190</v>
      </c>
      <c r="D49" s="5" t="s">
        <v>171</v>
      </c>
      <c r="E49" s="5" t="s">
        <v>162</v>
      </c>
      <c r="F49" s="5" t="s">
        <v>162</v>
      </c>
      <c r="G49" s="5">
        <v>3</v>
      </c>
      <c r="H49" s="5" t="s">
        <v>180</v>
      </c>
      <c r="I49" s="5">
        <v>4</v>
      </c>
      <c r="J49" s="5">
        <v>3</v>
      </c>
      <c r="K49" s="5">
        <v>5</v>
      </c>
      <c r="L49" s="5"/>
    </row>
    <row r="50" spans="1:12" x14ac:dyDescent="0.25">
      <c r="A50" s="5" t="s">
        <v>234</v>
      </c>
      <c r="B50" s="5" t="s">
        <v>159</v>
      </c>
      <c r="C50" s="5" t="s">
        <v>160</v>
      </c>
      <c r="D50" s="5" t="s">
        <v>185</v>
      </c>
      <c r="E50" s="5" t="s">
        <v>179</v>
      </c>
      <c r="F50" s="5" t="s">
        <v>163</v>
      </c>
      <c r="G50" s="5">
        <v>5</v>
      </c>
      <c r="H50" s="5" t="s">
        <v>180</v>
      </c>
      <c r="I50" s="5">
        <v>4</v>
      </c>
      <c r="J50" s="5">
        <v>5</v>
      </c>
      <c r="K50" s="5">
        <v>3</v>
      </c>
      <c r="L50" s="5" t="s">
        <v>213</v>
      </c>
    </row>
    <row r="51" spans="1:12" x14ac:dyDescent="0.25">
      <c r="A51" s="5" t="s">
        <v>235</v>
      </c>
      <c r="B51" s="5" t="s">
        <v>166</v>
      </c>
      <c r="C51" s="5" t="s">
        <v>167</v>
      </c>
      <c r="D51" s="5" t="s">
        <v>174</v>
      </c>
      <c r="E51" s="5" t="s">
        <v>179</v>
      </c>
      <c r="F51" s="5" t="s">
        <v>162</v>
      </c>
      <c r="G51" s="5">
        <v>4</v>
      </c>
      <c r="H51" s="5" t="s">
        <v>168</v>
      </c>
      <c r="I51" s="5">
        <v>5</v>
      </c>
      <c r="J51" s="5">
        <v>4</v>
      </c>
      <c r="K51" s="5">
        <v>5</v>
      </c>
      <c r="L51" s="5"/>
    </row>
    <row r="52" spans="1:12" x14ac:dyDescent="0.25">
      <c r="A52" s="5" t="s">
        <v>236</v>
      </c>
      <c r="B52" s="5" t="s">
        <v>166</v>
      </c>
      <c r="C52" s="5" t="s">
        <v>160</v>
      </c>
      <c r="D52" s="5" t="s">
        <v>174</v>
      </c>
      <c r="E52" s="5" t="s">
        <v>163</v>
      </c>
      <c r="F52" s="5" t="s">
        <v>163</v>
      </c>
      <c r="G52" s="5">
        <v>4</v>
      </c>
      <c r="H52" s="5" t="s">
        <v>168</v>
      </c>
      <c r="I52" s="5">
        <v>4</v>
      </c>
      <c r="J52" s="5">
        <v>5</v>
      </c>
      <c r="K52" s="5">
        <v>5</v>
      </c>
      <c r="L52" s="5"/>
    </row>
    <row r="53" spans="1:12" x14ac:dyDescent="0.25">
      <c r="A53" s="5" t="s">
        <v>237</v>
      </c>
      <c r="B53" s="5" t="s">
        <v>166</v>
      </c>
      <c r="C53" s="5" t="s">
        <v>160</v>
      </c>
      <c r="D53" s="5" t="s">
        <v>171</v>
      </c>
      <c r="E53" s="5" t="s">
        <v>162</v>
      </c>
      <c r="F53" s="5" t="s">
        <v>163</v>
      </c>
      <c r="G53" s="5">
        <v>3</v>
      </c>
      <c r="H53" s="5" t="s">
        <v>180</v>
      </c>
      <c r="I53" s="5">
        <v>5</v>
      </c>
      <c r="J53" s="5">
        <v>2</v>
      </c>
      <c r="K53" s="5">
        <v>2</v>
      </c>
      <c r="L53" s="5"/>
    </row>
    <row r="54" spans="1:12" x14ac:dyDescent="0.25">
      <c r="A54" s="5" t="s">
        <v>238</v>
      </c>
      <c r="B54" s="5" t="s">
        <v>166</v>
      </c>
      <c r="C54" s="5" t="s">
        <v>167</v>
      </c>
      <c r="D54" s="5" t="s">
        <v>185</v>
      </c>
      <c r="E54" s="5" t="s">
        <v>179</v>
      </c>
      <c r="F54" s="5" t="s">
        <v>162</v>
      </c>
      <c r="G54" s="5">
        <v>3</v>
      </c>
      <c r="H54" s="5" t="s">
        <v>168</v>
      </c>
      <c r="I54" s="5">
        <v>3</v>
      </c>
      <c r="J54" s="5">
        <v>5</v>
      </c>
      <c r="K54" s="5">
        <v>2</v>
      </c>
      <c r="L54" s="5"/>
    </row>
    <row r="55" spans="1:12" x14ac:dyDescent="0.25">
      <c r="A55" s="5" t="s">
        <v>239</v>
      </c>
      <c r="B55" s="5" t="s">
        <v>166</v>
      </c>
      <c r="C55" s="5" t="s">
        <v>170</v>
      </c>
      <c r="D55" s="5" t="s">
        <v>185</v>
      </c>
      <c r="E55" s="5" t="s">
        <v>179</v>
      </c>
      <c r="F55" s="5" t="s">
        <v>162</v>
      </c>
      <c r="G55" s="5">
        <v>4</v>
      </c>
      <c r="H55" s="5" t="s">
        <v>168</v>
      </c>
      <c r="I55" s="5">
        <v>5</v>
      </c>
      <c r="J55" s="5">
        <v>3</v>
      </c>
      <c r="K55" s="5">
        <v>2</v>
      </c>
      <c r="L55" s="5"/>
    </row>
    <row r="56" spans="1:12" x14ac:dyDescent="0.25">
      <c r="A56" s="5" t="s">
        <v>240</v>
      </c>
      <c r="B56" s="5" t="s">
        <v>159</v>
      </c>
      <c r="C56" s="5" t="s">
        <v>190</v>
      </c>
      <c r="D56" s="5" t="s">
        <v>174</v>
      </c>
      <c r="E56" s="5" t="s">
        <v>163</v>
      </c>
      <c r="F56" s="5" t="s">
        <v>163</v>
      </c>
      <c r="G56" s="5">
        <v>4</v>
      </c>
      <c r="H56" s="5" t="s">
        <v>168</v>
      </c>
      <c r="I56" s="5">
        <v>5</v>
      </c>
      <c r="J56" s="5">
        <v>4</v>
      </c>
      <c r="K56" s="5">
        <v>4</v>
      </c>
      <c r="L56" s="5"/>
    </row>
    <row r="57" spans="1:12" x14ac:dyDescent="0.25">
      <c r="A57" s="5" t="s">
        <v>241</v>
      </c>
      <c r="B57" s="5" t="s">
        <v>166</v>
      </c>
      <c r="C57" s="5" t="s">
        <v>160</v>
      </c>
      <c r="D57" s="5" t="s">
        <v>161</v>
      </c>
      <c r="E57" s="5" t="s">
        <v>162</v>
      </c>
      <c r="F57" s="5" t="s">
        <v>163</v>
      </c>
      <c r="G57" s="5">
        <v>4</v>
      </c>
      <c r="H57" s="5" t="s">
        <v>180</v>
      </c>
      <c r="I57" s="5">
        <v>5</v>
      </c>
      <c r="J57" s="5">
        <v>2</v>
      </c>
      <c r="K57" s="5">
        <v>3</v>
      </c>
      <c r="L57" s="5"/>
    </row>
    <row r="58" spans="1:12" x14ac:dyDescent="0.25">
      <c r="A58" s="5" t="s">
        <v>242</v>
      </c>
      <c r="B58" s="5" t="s">
        <v>159</v>
      </c>
      <c r="C58" s="5" t="s">
        <v>160</v>
      </c>
      <c r="D58" s="5" t="s">
        <v>176</v>
      </c>
      <c r="E58" s="5" t="s">
        <v>179</v>
      </c>
      <c r="F58" s="5" t="s">
        <v>162</v>
      </c>
      <c r="G58" s="5">
        <v>3</v>
      </c>
      <c r="H58" s="5" t="s">
        <v>180</v>
      </c>
      <c r="I58" s="5">
        <v>4</v>
      </c>
      <c r="J58" s="5">
        <v>5</v>
      </c>
      <c r="K58" s="5">
        <v>1</v>
      </c>
      <c r="L58" s="5"/>
    </row>
    <row r="59" spans="1:12" x14ac:dyDescent="0.25">
      <c r="A59" s="5" t="s">
        <v>243</v>
      </c>
      <c r="B59" s="5" t="s">
        <v>159</v>
      </c>
      <c r="C59" s="5" t="s">
        <v>167</v>
      </c>
      <c r="D59" s="5" t="s">
        <v>185</v>
      </c>
      <c r="E59" s="5" t="s">
        <v>179</v>
      </c>
      <c r="F59" s="5" t="s">
        <v>160</v>
      </c>
      <c r="G59" s="5">
        <v>3</v>
      </c>
      <c r="H59" s="5" t="s">
        <v>164</v>
      </c>
      <c r="I59" s="5">
        <v>5</v>
      </c>
      <c r="J59" s="5">
        <v>5</v>
      </c>
      <c r="K59" s="5">
        <v>3</v>
      </c>
      <c r="L59" s="5" t="s">
        <v>211</v>
      </c>
    </row>
    <row r="60" spans="1:12" x14ac:dyDescent="0.25">
      <c r="A60" s="5" t="s">
        <v>244</v>
      </c>
      <c r="B60" s="5" t="s">
        <v>166</v>
      </c>
      <c r="C60" s="5" t="s">
        <v>160</v>
      </c>
      <c r="D60" s="5" t="s">
        <v>161</v>
      </c>
      <c r="E60" s="5" t="s">
        <v>162</v>
      </c>
      <c r="F60" s="5" t="s">
        <v>162</v>
      </c>
      <c r="G60" s="5">
        <v>2</v>
      </c>
      <c r="H60" s="5" t="s">
        <v>201</v>
      </c>
      <c r="I60" s="5">
        <v>4</v>
      </c>
      <c r="J60" s="5">
        <v>2</v>
      </c>
      <c r="K60" s="5">
        <v>1</v>
      </c>
      <c r="L60" s="5"/>
    </row>
    <row r="61" spans="1:12" x14ac:dyDescent="0.25">
      <c r="A61" s="5" t="s">
        <v>245</v>
      </c>
      <c r="B61" s="5" t="s">
        <v>166</v>
      </c>
      <c r="C61" s="5" t="s">
        <v>170</v>
      </c>
      <c r="D61" s="5" t="s">
        <v>185</v>
      </c>
      <c r="E61" s="5" t="s">
        <v>179</v>
      </c>
      <c r="F61" s="5" t="s">
        <v>160</v>
      </c>
      <c r="G61" s="5">
        <v>5</v>
      </c>
      <c r="H61" s="5" t="s">
        <v>201</v>
      </c>
      <c r="I61" s="5">
        <v>1</v>
      </c>
      <c r="J61" s="5">
        <v>5</v>
      </c>
      <c r="K61" s="5">
        <v>4</v>
      </c>
      <c r="L61" s="5"/>
    </row>
    <row r="62" spans="1:12" x14ac:dyDescent="0.25">
      <c r="A62" s="5" t="s">
        <v>246</v>
      </c>
      <c r="B62" s="5" t="s">
        <v>166</v>
      </c>
      <c r="C62" s="5" t="s">
        <v>160</v>
      </c>
      <c r="D62" s="5" t="s">
        <v>185</v>
      </c>
      <c r="E62" s="5" t="s">
        <v>163</v>
      </c>
      <c r="F62" s="5" t="s">
        <v>162</v>
      </c>
      <c r="G62" s="5">
        <v>5</v>
      </c>
      <c r="H62" s="5" t="s">
        <v>168</v>
      </c>
      <c r="I62" s="5">
        <v>3</v>
      </c>
      <c r="J62" s="5">
        <v>2</v>
      </c>
      <c r="K62" s="5">
        <v>4</v>
      </c>
      <c r="L62" s="5"/>
    </row>
    <row r="63" spans="1:12" x14ac:dyDescent="0.25">
      <c r="A63" s="5" t="s">
        <v>247</v>
      </c>
      <c r="B63" s="5" t="s">
        <v>166</v>
      </c>
      <c r="C63" s="5" t="s">
        <v>160</v>
      </c>
      <c r="D63" s="5" t="s">
        <v>161</v>
      </c>
      <c r="E63" s="5" t="s">
        <v>179</v>
      </c>
      <c r="F63" s="5" t="s">
        <v>162</v>
      </c>
      <c r="G63" s="5">
        <v>4</v>
      </c>
      <c r="H63" s="5" t="s">
        <v>180</v>
      </c>
      <c r="I63" s="5">
        <v>2</v>
      </c>
      <c r="J63" s="5">
        <v>4</v>
      </c>
      <c r="K63" s="5">
        <v>3</v>
      </c>
      <c r="L63" s="5" t="s">
        <v>194</v>
      </c>
    </row>
    <row r="64" spans="1:12" x14ac:dyDescent="0.25">
      <c r="A64" s="5" t="s">
        <v>248</v>
      </c>
      <c r="B64" s="5" t="s">
        <v>166</v>
      </c>
      <c r="C64" s="5" t="s">
        <v>190</v>
      </c>
      <c r="D64" s="5" t="s">
        <v>176</v>
      </c>
      <c r="E64" s="5" t="s">
        <v>163</v>
      </c>
      <c r="F64" s="5" t="s">
        <v>163</v>
      </c>
      <c r="G64" s="5">
        <v>1</v>
      </c>
      <c r="H64" s="5" t="s">
        <v>164</v>
      </c>
      <c r="I64" s="5">
        <v>3</v>
      </c>
      <c r="J64" s="5">
        <v>2</v>
      </c>
      <c r="K64" s="5">
        <v>4</v>
      </c>
      <c r="L64" s="5"/>
    </row>
    <row r="65" spans="1:12" x14ac:dyDescent="0.25">
      <c r="A65" s="5" t="s">
        <v>249</v>
      </c>
      <c r="B65" s="5" t="s">
        <v>166</v>
      </c>
      <c r="C65" s="5" t="s">
        <v>160</v>
      </c>
      <c r="D65" s="5" t="s">
        <v>161</v>
      </c>
      <c r="E65" s="5" t="s">
        <v>163</v>
      </c>
      <c r="F65" s="5" t="s">
        <v>160</v>
      </c>
      <c r="G65" s="5">
        <v>1</v>
      </c>
      <c r="H65" s="5" t="s">
        <v>180</v>
      </c>
      <c r="I65" s="5">
        <v>2</v>
      </c>
      <c r="J65" s="5">
        <v>5</v>
      </c>
      <c r="K65" s="5">
        <v>1</v>
      </c>
      <c r="L65" s="5" t="s">
        <v>199</v>
      </c>
    </row>
    <row r="66" spans="1:12" x14ac:dyDescent="0.25">
      <c r="A66" s="5" t="s">
        <v>250</v>
      </c>
      <c r="B66" s="5" t="s">
        <v>166</v>
      </c>
      <c r="C66" s="5" t="s">
        <v>160</v>
      </c>
      <c r="D66" s="5" t="s">
        <v>174</v>
      </c>
      <c r="E66" s="5" t="s">
        <v>162</v>
      </c>
      <c r="F66" s="5" t="s">
        <v>160</v>
      </c>
      <c r="G66" s="5">
        <v>2</v>
      </c>
      <c r="H66" s="5" t="s">
        <v>201</v>
      </c>
      <c r="I66" s="5">
        <v>2</v>
      </c>
      <c r="J66" s="5">
        <v>4</v>
      </c>
      <c r="K66" s="5">
        <v>3</v>
      </c>
      <c r="L66" s="5" t="s">
        <v>211</v>
      </c>
    </row>
    <row r="67" spans="1:12" x14ac:dyDescent="0.25">
      <c r="A67" s="5" t="s">
        <v>251</v>
      </c>
      <c r="B67" s="5" t="s">
        <v>159</v>
      </c>
      <c r="C67" s="5" t="s">
        <v>167</v>
      </c>
      <c r="D67" s="5" t="s">
        <v>161</v>
      </c>
      <c r="E67" s="5" t="s">
        <v>163</v>
      </c>
      <c r="F67" s="5" t="s">
        <v>160</v>
      </c>
      <c r="G67" s="5">
        <v>4</v>
      </c>
      <c r="H67" s="5" t="s">
        <v>168</v>
      </c>
      <c r="I67" s="5">
        <v>4</v>
      </c>
      <c r="J67" s="5">
        <v>4</v>
      </c>
      <c r="K67" s="5">
        <v>3</v>
      </c>
      <c r="L67" s="5" t="s">
        <v>211</v>
      </c>
    </row>
    <row r="68" spans="1:12" x14ac:dyDescent="0.25">
      <c r="A68" s="5" t="s">
        <v>252</v>
      </c>
      <c r="B68" s="5" t="s">
        <v>159</v>
      </c>
      <c r="C68" s="5" t="s">
        <v>196</v>
      </c>
      <c r="D68" s="5" t="s">
        <v>161</v>
      </c>
      <c r="E68" s="5" t="s">
        <v>163</v>
      </c>
      <c r="F68" s="5" t="s">
        <v>163</v>
      </c>
      <c r="G68" s="5">
        <v>4</v>
      </c>
      <c r="H68" s="5" t="s">
        <v>180</v>
      </c>
      <c r="I68" s="5">
        <v>4</v>
      </c>
      <c r="J68" s="5">
        <v>5</v>
      </c>
      <c r="K68" s="5">
        <v>1</v>
      </c>
      <c r="L68" s="5"/>
    </row>
    <row r="69" spans="1:12" x14ac:dyDescent="0.25">
      <c r="A69" s="5" t="s">
        <v>253</v>
      </c>
      <c r="B69" s="5" t="s">
        <v>159</v>
      </c>
      <c r="C69" s="5" t="s">
        <v>190</v>
      </c>
      <c r="D69" s="5" t="s">
        <v>185</v>
      </c>
      <c r="E69" s="5" t="s">
        <v>163</v>
      </c>
      <c r="F69" s="5" t="s">
        <v>163</v>
      </c>
      <c r="G69" s="5">
        <v>2</v>
      </c>
      <c r="H69" s="5" t="s">
        <v>180</v>
      </c>
      <c r="I69" s="5">
        <v>4</v>
      </c>
      <c r="J69" s="5">
        <v>2</v>
      </c>
      <c r="K69" s="5">
        <v>1</v>
      </c>
      <c r="L69" s="5"/>
    </row>
    <row r="70" spans="1:12" x14ac:dyDescent="0.25">
      <c r="A70" s="5" t="s">
        <v>254</v>
      </c>
      <c r="B70" s="5" t="s">
        <v>159</v>
      </c>
      <c r="C70" s="5" t="s">
        <v>196</v>
      </c>
      <c r="D70" s="5" t="s">
        <v>185</v>
      </c>
      <c r="E70" s="5" t="s">
        <v>163</v>
      </c>
      <c r="F70" s="5" t="s">
        <v>162</v>
      </c>
      <c r="G70" s="5">
        <v>4</v>
      </c>
      <c r="H70" s="5" t="s">
        <v>201</v>
      </c>
      <c r="I70" s="5">
        <v>2</v>
      </c>
      <c r="J70" s="5">
        <v>2</v>
      </c>
      <c r="K70" s="5">
        <v>5</v>
      </c>
      <c r="L70" s="5" t="s">
        <v>194</v>
      </c>
    </row>
    <row r="71" spans="1:12" x14ac:dyDescent="0.25">
      <c r="A71" s="5" t="s">
        <v>255</v>
      </c>
      <c r="B71" s="5" t="s">
        <v>159</v>
      </c>
      <c r="C71" s="5" t="s">
        <v>160</v>
      </c>
      <c r="D71" s="5" t="s">
        <v>174</v>
      </c>
      <c r="E71" s="5" t="s">
        <v>163</v>
      </c>
      <c r="F71" s="5" t="s">
        <v>162</v>
      </c>
      <c r="G71" s="5">
        <v>5</v>
      </c>
      <c r="H71" s="5" t="s">
        <v>164</v>
      </c>
      <c r="I71" s="5">
        <v>5</v>
      </c>
      <c r="J71" s="5">
        <v>4</v>
      </c>
      <c r="K71" s="5">
        <v>1</v>
      </c>
      <c r="L71" s="5"/>
    </row>
    <row r="72" spans="1:12" x14ac:dyDescent="0.25">
      <c r="A72" s="5" t="s">
        <v>256</v>
      </c>
      <c r="B72" s="5" t="s">
        <v>166</v>
      </c>
      <c r="C72" s="5" t="s">
        <v>170</v>
      </c>
      <c r="D72" s="5" t="s">
        <v>174</v>
      </c>
      <c r="E72" s="5" t="s">
        <v>163</v>
      </c>
      <c r="F72" s="5" t="s">
        <v>160</v>
      </c>
      <c r="G72" s="5">
        <v>3</v>
      </c>
      <c r="H72" s="5" t="s">
        <v>180</v>
      </c>
      <c r="I72" s="5">
        <v>2</v>
      </c>
      <c r="J72" s="5">
        <v>3</v>
      </c>
      <c r="K72" s="5">
        <v>4</v>
      </c>
      <c r="L72" s="5"/>
    </row>
    <row r="73" spans="1:12" x14ac:dyDescent="0.25">
      <c r="A73" s="5" t="s">
        <v>257</v>
      </c>
      <c r="B73" s="5" t="s">
        <v>159</v>
      </c>
      <c r="C73" s="5" t="s">
        <v>167</v>
      </c>
      <c r="D73" s="5" t="s">
        <v>174</v>
      </c>
      <c r="E73" s="5" t="s">
        <v>163</v>
      </c>
      <c r="F73" s="5" t="s">
        <v>160</v>
      </c>
      <c r="G73" s="5">
        <v>4</v>
      </c>
      <c r="H73" s="5" t="s">
        <v>180</v>
      </c>
      <c r="I73" s="5">
        <v>5</v>
      </c>
      <c r="J73" s="5">
        <v>4</v>
      </c>
      <c r="K73" s="5">
        <v>2</v>
      </c>
      <c r="L73" s="5" t="s">
        <v>199</v>
      </c>
    </row>
    <row r="74" spans="1:12" x14ac:dyDescent="0.25">
      <c r="A74" s="5" t="s">
        <v>258</v>
      </c>
      <c r="B74" s="5" t="s">
        <v>159</v>
      </c>
      <c r="C74" s="5" t="s">
        <v>196</v>
      </c>
      <c r="D74" s="5" t="s">
        <v>161</v>
      </c>
      <c r="E74" s="5" t="s">
        <v>163</v>
      </c>
      <c r="F74" s="5" t="s">
        <v>160</v>
      </c>
      <c r="G74" s="5">
        <v>3</v>
      </c>
      <c r="H74" s="5" t="s">
        <v>180</v>
      </c>
      <c r="I74" s="5">
        <v>4</v>
      </c>
      <c r="J74" s="5">
        <v>4</v>
      </c>
      <c r="K74" s="5">
        <v>3</v>
      </c>
      <c r="L74" s="5" t="s">
        <v>188</v>
      </c>
    </row>
    <row r="75" spans="1:12" x14ac:dyDescent="0.25">
      <c r="A75" s="5" t="s">
        <v>259</v>
      </c>
      <c r="B75" s="5" t="s">
        <v>159</v>
      </c>
      <c r="C75" s="5" t="s">
        <v>196</v>
      </c>
      <c r="D75" s="5" t="s">
        <v>185</v>
      </c>
      <c r="E75" s="5" t="s">
        <v>179</v>
      </c>
      <c r="F75" s="5" t="s">
        <v>162</v>
      </c>
      <c r="G75" s="5">
        <v>4</v>
      </c>
      <c r="H75" s="5" t="s">
        <v>164</v>
      </c>
      <c r="I75" s="5">
        <v>3</v>
      </c>
      <c r="J75" s="5">
        <v>5</v>
      </c>
      <c r="K75" s="5">
        <v>5</v>
      </c>
      <c r="L75" s="5" t="s">
        <v>191</v>
      </c>
    </row>
    <row r="76" spans="1:12" x14ac:dyDescent="0.25">
      <c r="A76" s="5" t="s">
        <v>260</v>
      </c>
      <c r="B76" s="5" t="s">
        <v>159</v>
      </c>
      <c r="C76" s="5" t="s">
        <v>160</v>
      </c>
      <c r="D76" s="5" t="s">
        <v>185</v>
      </c>
      <c r="E76" s="5" t="s">
        <v>179</v>
      </c>
      <c r="F76" s="5" t="s">
        <v>163</v>
      </c>
      <c r="G76" s="5">
        <v>4</v>
      </c>
      <c r="H76" s="5" t="s">
        <v>164</v>
      </c>
      <c r="I76" s="5">
        <v>5</v>
      </c>
      <c r="J76" s="5">
        <v>3</v>
      </c>
      <c r="K76" s="5">
        <v>5</v>
      </c>
      <c r="L76" s="5"/>
    </row>
    <row r="77" spans="1:12" x14ac:dyDescent="0.25">
      <c r="A77" s="5" t="s">
        <v>261</v>
      </c>
      <c r="B77" s="5" t="s">
        <v>159</v>
      </c>
      <c r="C77" s="5" t="s">
        <v>170</v>
      </c>
      <c r="D77" s="5" t="s">
        <v>185</v>
      </c>
      <c r="E77" s="5" t="s">
        <v>162</v>
      </c>
      <c r="F77" s="5" t="s">
        <v>162</v>
      </c>
      <c r="G77" s="5">
        <v>4</v>
      </c>
      <c r="H77" s="5" t="s">
        <v>164</v>
      </c>
      <c r="I77" s="5">
        <v>5</v>
      </c>
      <c r="J77" s="5">
        <v>3</v>
      </c>
      <c r="K77" s="5">
        <v>4</v>
      </c>
      <c r="L77" s="5" t="s">
        <v>213</v>
      </c>
    </row>
    <row r="78" spans="1:12" x14ac:dyDescent="0.25">
      <c r="A78" s="5" t="s">
        <v>262</v>
      </c>
      <c r="B78" s="5" t="s">
        <v>159</v>
      </c>
      <c r="C78" s="5" t="s">
        <v>167</v>
      </c>
      <c r="D78" s="5" t="s">
        <v>174</v>
      </c>
      <c r="E78" s="5" t="s">
        <v>179</v>
      </c>
      <c r="F78" s="5" t="s">
        <v>163</v>
      </c>
      <c r="G78" s="5">
        <v>4</v>
      </c>
      <c r="H78" s="5" t="s">
        <v>201</v>
      </c>
      <c r="I78" s="5">
        <v>5</v>
      </c>
      <c r="J78" s="5">
        <v>4</v>
      </c>
      <c r="K78" s="5">
        <v>4</v>
      </c>
      <c r="L78" s="5" t="s">
        <v>188</v>
      </c>
    </row>
    <row r="79" spans="1:12" x14ac:dyDescent="0.25">
      <c r="A79" s="5" t="s">
        <v>263</v>
      </c>
      <c r="B79" s="5" t="s">
        <v>159</v>
      </c>
      <c r="C79" s="5" t="s">
        <v>160</v>
      </c>
      <c r="D79" s="5" t="s">
        <v>185</v>
      </c>
      <c r="E79" s="5" t="s">
        <v>162</v>
      </c>
      <c r="F79" s="5" t="s">
        <v>163</v>
      </c>
      <c r="G79" s="5">
        <v>4</v>
      </c>
      <c r="H79" s="5" t="s">
        <v>201</v>
      </c>
      <c r="I79" s="5">
        <v>4</v>
      </c>
      <c r="J79" s="5">
        <v>4</v>
      </c>
      <c r="K79" s="5">
        <v>3</v>
      </c>
      <c r="L79" s="5" t="s">
        <v>211</v>
      </c>
    </row>
    <row r="80" spans="1:12" x14ac:dyDescent="0.25">
      <c r="A80" s="5" t="s">
        <v>264</v>
      </c>
      <c r="B80" s="5" t="s">
        <v>166</v>
      </c>
      <c r="C80" s="5" t="s">
        <v>160</v>
      </c>
      <c r="D80" s="5" t="s">
        <v>185</v>
      </c>
      <c r="E80" s="5" t="s">
        <v>163</v>
      </c>
      <c r="F80" s="5" t="s">
        <v>160</v>
      </c>
      <c r="G80" s="5">
        <v>5</v>
      </c>
      <c r="H80" s="5" t="s">
        <v>168</v>
      </c>
      <c r="I80" s="5">
        <v>4</v>
      </c>
      <c r="J80" s="5">
        <v>3</v>
      </c>
      <c r="K80" s="5">
        <v>4</v>
      </c>
      <c r="L80" s="5" t="s">
        <v>205</v>
      </c>
    </row>
    <row r="81" spans="1:12" x14ac:dyDescent="0.25">
      <c r="A81" s="5" t="s">
        <v>265</v>
      </c>
      <c r="B81" s="5" t="s">
        <v>166</v>
      </c>
      <c r="C81" s="5" t="s">
        <v>167</v>
      </c>
      <c r="D81" s="5" t="s">
        <v>185</v>
      </c>
      <c r="E81" s="5" t="s">
        <v>163</v>
      </c>
      <c r="F81" s="5" t="s">
        <v>160</v>
      </c>
      <c r="G81" s="5">
        <v>5</v>
      </c>
      <c r="H81" s="5" t="s">
        <v>180</v>
      </c>
      <c r="I81" s="5">
        <v>5</v>
      </c>
      <c r="J81" s="5">
        <v>5</v>
      </c>
      <c r="K81" s="5">
        <v>2</v>
      </c>
      <c r="L81" s="5"/>
    </row>
    <row r="82" spans="1:12" x14ac:dyDescent="0.25">
      <c r="A82" s="5" t="s">
        <v>266</v>
      </c>
      <c r="B82" s="5" t="s">
        <v>159</v>
      </c>
      <c r="C82" s="5" t="s">
        <v>167</v>
      </c>
      <c r="D82" s="5" t="s">
        <v>185</v>
      </c>
      <c r="E82" s="5" t="s">
        <v>163</v>
      </c>
      <c r="F82" s="5" t="s">
        <v>163</v>
      </c>
      <c r="G82" s="5">
        <v>4</v>
      </c>
      <c r="H82" s="5" t="s">
        <v>180</v>
      </c>
      <c r="I82" s="5">
        <v>4</v>
      </c>
      <c r="J82" s="5">
        <v>5</v>
      </c>
      <c r="K82" s="5">
        <v>3</v>
      </c>
      <c r="L82" s="5" t="s">
        <v>205</v>
      </c>
    </row>
    <row r="83" spans="1:12" x14ac:dyDescent="0.25">
      <c r="A83" s="5" t="s">
        <v>267</v>
      </c>
      <c r="B83" s="5" t="s">
        <v>159</v>
      </c>
      <c r="C83" s="5" t="s">
        <v>190</v>
      </c>
      <c r="D83" s="5" t="s">
        <v>185</v>
      </c>
      <c r="E83" s="5" t="s">
        <v>163</v>
      </c>
      <c r="F83" s="5" t="s">
        <v>163</v>
      </c>
      <c r="G83" s="5">
        <v>4</v>
      </c>
      <c r="H83" s="5" t="s">
        <v>180</v>
      </c>
      <c r="I83" s="5">
        <v>3</v>
      </c>
      <c r="J83" s="5">
        <v>4</v>
      </c>
      <c r="K83" s="5">
        <v>4</v>
      </c>
      <c r="L83" s="5" t="s">
        <v>203</v>
      </c>
    </row>
    <row r="84" spans="1:12" x14ac:dyDescent="0.25">
      <c r="A84" s="5" t="s">
        <v>268</v>
      </c>
      <c r="B84" s="5" t="s">
        <v>166</v>
      </c>
      <c r="C84" s="5" t="s">
        <v>167</v>
      </c>
      <c r="D84" s="5" t="s">
        <v>161</v>
      </c>
      <c r="E84" s="5" t="s">
        <v>179</v>
      </c>
      <c r="F84" s="5" t="s">
        <v>162</v>
      </c>
      <c r="G84" s="5">
        <v>4</v>
      </c>
      <c r="H84" s="5" t="s">
        <v>164</v>
      </c>
      <c r="I84" s="5">
        <v>4</v>
      </c>
      <c r="J84" s="5">
        <v>3</v>
      </c>
      <c r="K84" s="5">
        <v>4</v>
      </c>
      <c r="L84" s="5"/>
    </row>
    <row r="85" spans="1:12" x14ac:dyDescent="0.25">
      <c r="A85" s="5" t="s">
        <v>269</v>
      </c>
      <c r="B85" s="5" t="s">
        <v>166</v>
      </c>
      <c r="C85" s="5" t="s">
        <v>190</v>
      </c>
      <c r="D85" s="5" t="s">
        <v>161</v>
      </c>
      <c r="E85" s="5" t="s">
        <v>179</v>
      </c>
      <c r="F85" s="5" t="s">
        <v>162</v>
      </c>
      <c r="G85" s="5">
        <v>4</v>
      </c>
      <c r="H85" s="5" t="s">
        <v>180</v>
      </c>
      <c r="I85" s="5">
        <v>5</v>
      </c>
      <c r="J85" s="5">
        <v>5</v>
      </c>
      <c r="K85" s="5">
        <v>3</v>
      </c>
      <c r="L85" s="5" t="s">
        <v>194</v>
      </c>
    </row>
    <row r="86" spans="1:12" x14ac:dyDescent="0.25">
      <c r="A86" s="5" t="s">
        <v>270</v>
      </c>
      <c r="B86" s="5" t="s">
        <v>159</v>
      </c>
      <c r="C86" s="5" t="s">
        <v>160</v>
      </c>
      <c r="D86" s="5" t="s">
        <v>176</v>
      </c>
      <c r="E86" s="5" t="s">
        <v>162</v>
      </c>
      <c r="F86" s="5" t="s">
        <v>162</v>
      </c>
      <c r="G86" s="5">
        <v>4</v>
      </c>
      <c r="H86" s="5" t="s">
        <v>180</v>
      </c>
      <c r="I86" s="5">
        <v>5</v>
      </c>
      <c r="J86" s="5">
        <v>5</v>
      </c>
      <c r="K86" s="5">
        <v>1</v>
      </c>
      <c r="L86" s="5" t="s">
        <v>188</v>
      </c>
    </row>
    <row r="87" spans="1:12" x14ac:dyDescent="0.25">
      <c r="A87" s="5" t="s">
        <v>271</v>
      </c>
      <c r="B87" s="5" t="s">
        <v>159</v>
      </c>
      <c r="C87" s="5" t="s">
        <v>160</v>
      </c>
      <c r="D87" s="5" t="s">
        <v>171</v>
      </c>
      <c r="E87" s="5" t="s">
        <v>163</v>
      </c>
      <c r="F87" s="5" t="s">
        <v>160</v>
      </c>
      <c r="G87" s="5">
        <v>3</v>
      </c>
      <c r="H87" s="5" t="s">
        <v>164</v>
      </c>
      <c r="I87" s="5">
        <v>5</v>
      </c>
      <c r="J87" s="5">
        <v>2</v>
      </c>
      <c r="K87" s="5">
        <v>3</v>
      </c>
      <c r="L87" s="5"/>
    </row>
    <row r="88" spans="1:12" x14ac:dyDescent="0.25">
      <c r="A88" s="5" t="s">
        <v>272</v>
      </c>
      <c r="B88" s="5" t="s">
        <v>159</v>
      </c>
      <c r="C88" s="5" t="s">
        <v>160</v>
      </c>
      <c r="D88" s="5" t="s">
        <v>176</v>
      </c>
      <c r="E88" s="5" t="s">
        <v>163</v>
      </c>
      <c r="F88" s="5" t="s">
        <v>163</v>
      </c>
      <c r="G88" s="5">
        <v>3</v>
      </c>
      <c r="H88" s="5" t="s">
        <v>180</v>
      </c>
      <c r="I88" s="5">
        <v>5</v>
      </c>
      <c r="J88" s="5">
        <v>5</v>
      </c>
      <c r="K88" s="5">
        <v>4</v>
      </c>
      <c r="L88" s="5"/>
    </row>
    <row r="89" spans="1:12" x14ac:dyDescent="0.25">
      <c r="A89" s="5" t="s">
        <v>273</v>
      </c>
      <c r="B89" s="5" t="s">
        <v>159</v>
      </c>
      <c r="C89" s="5" t="s">
        <v>160</v>
      </c>
      <c r="D89" s="5" t="s">
        <v>176</v>
      </c>
      <c r="E89" s="5" t="s">
        <v>163</v>
      </c>
      <c r="F89" s="5" t="s">
        <v>160</v>
      </c>
      <c r="G89" s="5">
        <v>5</v>
      </c>
      <c r="H89" s="5" t="s">
        <v>180</v>
      </c>
      <c r="I89" s="5">
        <v>3</v>
      </c>
      <c r="J89" s="5">
        <v>2</v>
      </c>
      <c r="K89" s="5">
        <v>2</v>
      </c>
      <c r="L89" s="5" t="s">
        <v>199</v>
      </c>
    </row>
    <row r="90" spans="1:12" x14ac:dyDescent="0.25">
      <c r="A90" s="5" t="s">
        <v>274</v>
      </c>
      <c r="B90" s="5" t="s">
        <v>166</v>
      </c>
      <c r="C90" s="5" t="s">
        <v>160</v>
      </c>
      <c r="D90" s="5" t="s">
        <v>171</v>
      </c>
      <c r="E90" s="5" t="s">
        <v>179</v>
      </c>
      <c r="F90" s="5" t="s">
        <v>160</v>
      </c>
      <c r="G90" s="5">
        <v>1</v>
      </c>
      <c r="H90" s="5" t="s">
        <v>164</v>
      </c>
      <c r="I90" s="5">
        <v>5</v>
      </c>
      <c r="J90" s="5">
        <v>1</v>
      </c>
      <c r="K90" s="5">
        <v>3</v>
      </c>
      <c r="L90" s="5" t="s">
        <v>191</v>
      </c>
    </row>
    <row r="91" spans="1:12" x14ac:dyDescent="0.25">
      <c r="A91" s="5" t="s">
        <v>275</v>
      </c>
      <c r="B91" s="5" t="s">
        <v>166</v>
      </c>
      <c r="C91" s="5" t="s">
        <v>190</v>
      </c>
      <c r="D91" s="5" t="s">
        <v>161</v>
      </c>
      <c r="E91" s="5" t="s">
        <v>163</v>
      </c>
      <c r="F91" s="5" t="s">
        <v>163</v>
      </c>
      <c r="G91" s="5">
        <v>4</v>
      </c>
      <c r="H91" s="5" t="s">
        <v>164</v>
      </c>
      <c r="I91" s="5">
        <v>3</v>
      </c>
      <c r="J91" s="5">
        <v>3</v>
      </c>
      <c r="K91" s="5">
        <v>2</v>
      </c>
      <c r="L91" s="5"/>
    </row>
    <row r="92" spans="1:12" x14ac:dyDescent="0.25">
      <c r="A92" s="5" t="s">
        <v>276</v>
      </c>
      <c r="B92" s="5" t="s">
        <v>166</v>
      </c>
      <c r="C92" s="5" t="s">
        <v>167</v>
      </c>
      <c r="D92" s="5" t="s">
        <v>185</v>
      </c>
      <c r="E92" s="5" t="s">
        <v>179</v>
      </c>
      <c r="F92" s="5" t="s">
        <v>162</v>
      </c>
      <c r="G92" s="5">
        <v>4</v>
      </c>
      <c r="H92" s="5" t="s">
        <v>180</v>
      </c>
      <c r="I92" s="5">
        <v>4</v>
      </c>
      <c r="J92" s="5">
        <v>4</v>
      </c>
      <c r="K92" s="5">
        <v>4</v>
      </c>
      <c r="L92" s="5"/>
    </row>
    <row r="93" spans="1:12" x14ac:dyDescent="0.25">
      <c r="A93" s="5" t="s">
        <v>277</v>
      </c>
      <c r="B93" s="5" t="s">
        <v>166</v>
      </c>
      <c r="C93" s="5" t="s">
        <v>160</v>
      </c>
      <c r="D93" s="5" t="s">
        <v>176</v>
      </c>
      <c r="E93" s="5" t="s">
        <v>162</v>
      </c>
      <c r="F93" s="5" t="s">
        <v>160</v>
      </c>
      <c r="G93" s="5">
        <v>5</v>
      </c>
      <c r="H93" s="5" t="s">
        <v>164</v>
      </c>
      <c r="I93" s="5">
        <v>2</v>
      </c>
      <c r="J93" s="5">
        <v>4</v>
      </c>
      <c r="K93" s="5">
        <v>1</v>
      </c>
      <c r="L93" s="5"/>
    </row>
    <row r="94" spans="1:12" x14ac:dyDescent="0.25">
      <c r="A94" s="5" t="s">
        <v>278</v>
      </c>
      <c r="B94" s="5" t="s">
        <v>159</v>
      </c>
      <c r="C94" s="5" t="s">
        <v>160</v>
      </c>
      <c r="D94" s="5" t="s">
        <v>174</v>
      </c>
      <c r="E94" s="5" t="s">
        <v>162</v>
      </c>
      <c r="F94" s="5" t="s">
        <v>163</v>
      </c>
      <c r="G94" s="5">
        <v>5</v>
      </c>
      <c r="H94" s="5" t="s">
        <v>168</v>
      </c>
      <c r="I94" s="5">
        <v>4</v>
      </c>
      <c r="J94" s="5">
        <v>3</v>
      </c>
      <c r="K94" s="5">
        <v>3</v>
      </c>
      <c r="L94" s="5"/>
    </row>
    <row r="95" spans="1:12" x14ac:dyDescent="0.25">
      <c r="A95" s="5" t="s">
        <v>279</v>
      </c>
      <c r="B95" s="5" t="s">
        <v>159</v>
      </c>
      <c r="C95" s="5" t="s">
        <v>167</v>
      </c>
      <c r="D95" s="5" t="s">
        <v>185</v>
      </c>
      <c r="E95" s="5" t="s">
        <v>162</v>
      </c>
      <c r="F95" s="5" t="s">
        <v>160</v>
      </c>
      <c r="G95" s="5">
        <v>3</v>
      </c>
      <c r="H95" s="5" t="s">
        <v>180</v>
      </c>
      <c r="I95" s="5">
        <v>5</v>
      </c>
      <c r="J95" s="5">
        <v>4</v>
      </c>
      <c r="K95" s="5">
        <v>4</v>
      </c>
      <c r="L95" s="5" t="s">
        <v>203</v>
      </c>
    </row>
    <row r="96" spans="1:12" x14ac:dyDescent="0.25">
      <c r="A96" s="5" t="s">
        <v>280</v>
      </c>
      <c r="B96" s="5" t="s">
        <v>166</v>
      </c>
      <c r="C96" s="5" t="s">
        <v>160</v>
      </c>
      <c r="D96" s="5" t="s">
        <v>174</v>
      </c>
      <c r="E96" s="5" t="s">
        <v>162</v>
      </c>
      <c r="F96" s="5" t="s">
        <v>162</v>
      </c>
      <c r="G96" s="5">
        <v>5</v>
      </c>
      <c r="H96" s="5" t="s">
        <v>168</v>
      </c>
      <c r="I96" s="5">
        <v>3</v>
      </c>
      <c r="J96" s="5">
        <v>3</v>
      </c>
      <c r="K96" s="5">
        <v>3</v>
      </c>
      <c r="L96" s="5" t="s">
        <v>191</v>
      </c>
    </row>
    <row r="97" spans="1:12" x14ac:dyDescent="0.25">
      <c r="A97" s="5" t="s">
        <v>281</v>
      </c>
      <c r="B97" s="5" t="s">
        <v>159</v>
      </c>
      <c r="C97" s="5" t="s">
        <v>160</v>
      </c>
      <c r="D97" s="5" t="s">
        <v>185</v>
      </c>
      <c r="E97" s="5" t="s">
        <v>163</v>
      </c>
      <c r="F97" s="5" t="s">
        <v>163</v>
      </c>
      <c r="G97" s="5">
        <v>4</v>
      </c>
      <c r="H97" s="5" t="s">
        <v>164</v>
      </c>
      <c r="I97" s="5">
        <v>5</v>
      </c>
      <c r="J97" s="5">
        <v>3</v>
      </c>
      <c r="K97" s="5">
        <v>5</v>
      </c>
      <c r="L97" s="5"/>
    </row>
    <row r="98" spans="1:12" x14ac:dyDescent="0.25">
      <c r="A98" s="5" t="s">
        <v>282</v>
      </c>
      <c r="B98" s="5" t="s">
        <v>159</v>
      </c>
      <c r="C98" s="5" t="s">
        <v>160</v>
      </c>
      <c r="D98" s="5" t="s">
        <v>185</v>
      </c>
      <c r="E98" s="5" t="s">
        <v>163</v>
      </c>
      <c r="F98" s="5" t="s">
        <v>162</v>
      </c>
      <c r="G98" s="5">
        <v>4</v>
      </c>
      <c r="H98" s="5" t="s">
        <v>180</v>
      </c>
      <c r="I98" s="5">
        <v>3</v>
      </c>
      <c r="J98" s="5">
        <v>2</v>
      </c>
      <c r="K98" s="5">
        <v>2</v>
      </c>
      <c r="L98" s="5"/>
    </row>
    <row r="99" spans="1:12" x14ac:dyDescent="0.25">
      <c r="A99" s="5" t="s">
        <v>283</v>
      </c>
      <c r="B99" s="5" t="s">
        <v>166</v>
      </c>
      <c r="C99" s="5" t="s">
        <v>190</v>
      </c>
      <c r="D99" s="5" t="s">
        <v>161</v>
      </c>
      <c r="E99" s="5" t="s">
        <v>163</v>
      </c>
      <c r="F99" s="5" t="s">
        <v>162</v>
      </c>
      <c r="G99" s="5">
        <v>4</v>
      </c>
      <c r="H99" s="5" t="s">
        <v>164</v>
      </c>
      <c r="I99" s="5">
        <v>3</v>
      </c>
      <c r="J99" s="5">
        <v>2</v>
      </c>
      <c r="K99" s="5">
        <v>3</v>
      </c>
      <c r="L99" s="5" t="s">
        <v>199</v>
      </c>
    </row>
    <row r="100" spans="1:12" x14ac:dyDescent="0.25">
      <c r="A100" s="5" t="s">
        <v>284</v>
      </c>
      <c r="B100" s="5" t="s">
        <v>166</v>
      </c>
      <c r="C100" s="5" t="s">
        <v>167</v>
      </c>
      <c r="D100" s="5" t="s">
        <v>185</v>
      </c>
      <c r="E100" s="5" t="s">
        <v>179</v>
      </c>
      <c r="F100" s="5" t="s">
        <v>162</v>
      </c>
      <c r="G100" s="5">
        <v>3</v>
      </c>
      <c r="H100" s="5" t="s">
        <v>180</v>
      </c>
      <c r="I100" s="5">
        <v>5</v>
      </c>
      <c r="J100" s="5">
        <v>4</v>
      </c>
      <c r="K100" s="5">
        <v>1</v>
      </c>
      <c r="L100" s="5"/>
    </row>
    <row r="101" spans="1:12" x14ac:dyDescent="0.25">
      <c r="A101" s="5" t="s">
        <v>285</v>
      </c>
      <c r="B101" s="5" t="s">
        <v>159</v>
      </c>
      <c r="C101" s="5" t="s">
        <v>190</v>
      </c>
      <c r="D101" s="5" t="s">
        <v>161</v>
      </c>
      <c r="E101" s="5" t="s">
        <v>179</v>
      </c>
      <c r="F101" s="5" t="s">
        <v>163</v>
      </c>
      <c r="G101" s="5">
        <v>5</v>
      </c>
      <c r="H101" s="5" t="s">
        <v>180</v>
      </c>
      <c r="I101" s="5">
        <v>3</v>
      </c>
      <c r="J101" s="5">
        <v>4</v>
      </c>
      <c r="K101" s="5">
        <v>5</v>
      </c>
      <c r="L101" s="5" t="s">
        <v>203</v>
      </c>
    </row>
    <row r="102" spans="1:12" x14ac:dyDescent="0.25">
      <c r="A102" s="5" t="s">
        <v>286</v>
      </c>
      <c r="B102" s="5" t="s">
        <v>166</v>
      </c>
      <c r="C102" s="5" t="s">
        <v>196</v>
      </c>
      <c r="D102" s="5" t="s">
        <v>171</v>
      </c>
      <c r="E102" s="5" t="s">
        <v>163</v>
      </c>
      <c r="F102" s="5" t="s">
        <v>162</v>
      </c>
      <c r="G102" s="5">
        <v>4</v>
      </c>
      <c r="H102" s="5" t="s">
        <v>180</v>
      </c>
      <c r="I102" s="5">
        <v>1</v>
      </c>
      <c r="J102" s="5">
        <v>5</v>
      </c>
      <c r="K102" s="5">
        <v>1</v>
      </c>
      <c r="L102" s="5" t="s">
        <v>211</v>
      </c>
    </row>
    <row r="103" spans="1:12" x14ac:dyDescent="0.25">
      <c r="A103" s="5" t="s">
        <v>287</v>
      </c>
      <c r="B103" s="5" t="s">
        <v>159</v>
      </c>
      <c r="C103" s="5" t="s">
        <v>167</v>
      </c>
      <c r="D103" s="5" t="s">
        <v>161</v>
      </c>
      <c r="E103" s="5" t="s">
        <v>163</v>
      </c>
      <c r="F103" s="5" t="s">
        <v>163</v>
      </c>
      <c r="G103" s="5">
        <v>5</v>
      </c>
      <c r="H103" s="5" t="s">
        <v>168</v>
      </c>
      <c r="I103" s="5">
        <v>2</v>
      </c>
      <c r="J103" s="5">
        <v>2</v>
      </c>
      <c r="K103" s="5">
        <v>3</v>
      </c>
      <c r="L103" s="5" t="s">
        <v>203</v>
      </c>
    </row>
    <row r="104" spans="1:12" x14ac:dyDescent="0.25">
      <c r="A104" s="5" t="s">
        <v>288</v>
      </c>
      <c r="B104" s="5" t="s">
        <v>166</v>
      </c>
      <c r="C104" s="5" t="s">
        <v>167</v>
      </c>
      <c r="D104" s="5" t="s">
        <v>185</v>
      </c>
      <c r="E104" s="5" t="s">
        <v>163</v>
      </c>
      <c r="F104" s="5" t="s">
        <v>163</v>
      </c>
      <c r="G104" s="5">
        <v>4</v>
      </c>
      <c r="H104" s="5" t="s">
        <v>180</v>
      </c>
      <c r="I104" s="5">
        <v>2</v>
      </c>
      <c r="J104" s="5">
        <v>3</v>
      </c>
      <c r="K104" s="5">
        <v>4</v>
      </c>
      <c r="L104" s="5"/>
    </row>
    <row r="105" spans="1:12" x14ac:dyDescent="0.25">
      <c r="A105" s="5" t="s">
        <v>289</v>
      </c>
      <c r="B105" s="5" t="s">
        <v>159</v>
      </c>
      <c r="C105" s="5" t="s">
        <v>170</v>
      </c>
      <c r="D105" s="5" t="s">
        <v>161</v>
      </c>
      <c r="E105" s="5" t="s">
        <v>179</v>
      </c>
      <c r="F105" s="5" t="s">
        <v>162</v>
      </c>
      <c r="G105" s="5">
        <v>3</v>
      </c>
      <c r="H105" s="5" t="s">
        <v>180</v>
      </c>
      <c r="I105" s="5">
        <v>4</v>
      </c>
      <c r="J105" s="5">
        <v>2</v>
      </c>
      <c r="K105" s="5">
        <v>2</v>
      </c>
      <c r="L105" s="5"/>
    </row>
    <row r="106" spans="1:12" x14ac:dyDescent="0.25">
      <c r="A106" s="5" t="s">
        <v>290</v>
      </c>
      <c r="B106" s="5" t="s">
        <v>159</v>
      </c>
      <c r="C106" s="5" t="s">
        <v>170</v>
      </c>
      <c r="D106" s="5" t="s">
        <v>185</v>
      </c>
      <c r="E106" s="5" t="s">
        <v>163</v>
      </c>
      <c r="F106" s="5" t="s">
        <v>163</v>
      </c>
      <c r="G106" s="5">
        <v>4</v>
      </c>
      <c r="H106" s="5" t="s">
        <v>180</v>
      </c>
      <c r="I106" s="5">
        <v>5</v>
      </c>
      <c r="J106" s="5">
        <v>5</v>
      </c>
      <c r="K106" s="5">
        <v>4</v>
      </c>
      <c r="L106" s="5" t="s">
        <v>194</v>
      </c>
    </row>
    <row r="107" spans="1:12" x14ac:dyDescent="0.25">
      <c r="A107" s="5" t="s">
        <v>291</v>
      </c>
      <c r="B107" s="5" t="s">
        <v>159</v>
      </c>
      <c r="C107" s="5" t="s">
        <v>190</v>
      </c>
      <c r="D107" s="5" t="s">
        <v>174</v>
      </c>
      <c r="E107" s="5" t="s">
        <v>163</v>
      </c>
      <c r="F107" s="5" t="s">
        <v>162</v>
      </c>
      <c r="G107" s="5">
        <v>5</v>
      </c>
      <c r="H107" s="5" t="s">
        <v>180</v>
      </c>
      <c r="I107" s="5">
        <v>4</v>
      </c>
      <c r="J107" s="5">
        <v>5</v>
      </c>
      <c r="K107" s="5">
        <v>5</v>
      </c>
      <c r="L107" s="5"/>
    </row>
    <row r="108" spans="1:12" x14ac:dyDescent="0.25">
      <c r="A108" s="5" t="s">
        <v>292</v>
      </c>
      <c r="B108" s="5" t="s">
        <v>159</v>
      </c>
      <c r="C108" s="5" t="s">
        <v>170</v>
      </c>
      <c r="D108" s="5" t="s">
        <v>171</v>
      </c>
      <c r="E108" s="5" t="s">
        <v>179</v>
      </c>
      <c r="F108" s="5" t="s">
        <v>163</v>
      </c>
      <c r="G108" s="5">
        <v>3</v>
      </c>
      <c r="H108" s="5" t="s">
        <v>180</v>
      </c>
      <c r="I108" s="5">
        <v>5</v>
      </c>
      <c r="J108" s="5">
        <v>4</v>
      </c>
      <c r="K108" s="5">
        <v>5</v>
      </c>
      <c r="L108" s="5"/>
    </row>
    <row r="109" spans="1:12" x14ac:dyDescent="0.25">
      <c r="A109" s="5" t="s">
        <v>293</v>
      </c>
      <c r="B109" s="5" t="s">
        <v>159</v>
      </c>
      <c r="C109" s="5" t="s">
        <v>160</v>
      </c>
      <c r="D109" s="5" t="s">
        <v>176</v>
      </c>
      <c r="E109" s="5" t="s">
        <v>179</v>
      </c>
      <c r="F109" s="5" t="s">
        <v>162</v>
      </c>
      <c r="G109" s="5">
        <v>1</v>
      </c>
      <c r="H109" s="5" t="s">
        <v>201</v>
      </c>
      <c r="I109" s="5">
        <v>3</v>
      </c>
      <c r="J109" s="5">
        <v>4</v>
      </c>
      <c r="K109" s="5">
        <v>3</v>
      </c>
      <c r="L109" s="5" t="s">
        <v>194</v>
      </c>
    </row>
    <row r="110" spans="1:12" x14ac:dyDescent="0.25">
      <c r="A110" s="5" t="s">
        <v>294</v>
      </c>
      <c r="B110" s="5" t="s">
        <v>166</v>
      </c>
      <c r="C110" s="5" t="s">
        <v>167</v>
      </c>
      <c r="D110" s="5" t="s">
        <v>161</v>
      </c>
      <c r="E110" s="5" t="s">
        <v>179</v>
      </c>
      <c r="F110" s="5" t="s">
        <v>163</v>
      </c>
      <c r="G110" s="5">
        <v>5</v>
      </c>
      <c r="H110" s="5" t="s">
        <v>164</v>
      </c>
      <c r="I110" s="5">
        <v>3</v>
      </c>
      <c r="J110" s="5">
        <v>4</v>
      </c>
      <c r="K110" s="5">
        <v>4</v>
      </c>
      <c r="L110" s="5" t="s">
        <v>191</v>
      </c>
    </row>
    <row r="111" spans="1:12" x14ac:dyDescent="0.25">
      <c r="A111" s="5" t="s">
        <v>295</v>
      </c>
      <c r="B111" s="5" t="s">
        <v>166</v>
      </c>
      <c r="C111" s="5" t="s">
        <v>170</v>
      </c>
      <c r="D111" s="5" t="s">
        <v>171</v>
      </c>
      <c r="E111" s="5" t="s">
        <v>163</v>
      </c>
      <c r="F111" s="5" t="s">
        <v>162</v>
      </c>
      <c r="G111" s="5">
        <v>5</v>
      </c>
      <c r="H111" s="5" t="s">
        <v>164</v>
      </c>
      <c r="I111" s="5">
        <v>4</v>
      </c>
      <c r="J111" s="5">
        <v>4</v>
      </c>
      <c r="K111" s="5">
        <v>5</v>
      </c>
      <c r="L111" s="5"/>
    </row>
    <row r="112" spans="1:12" x14ac:dyDescent="0.25">
      <c r="A112" s="5" t="s">
        <v>296</v>
      </c>
      <c r="B112" s="5" t="s">
        <v>159</v>
      </c>
      <c r="C112" s="5" t="s">
        <v>190</v>
      </c>
      <c r="D112" s="5" t="s">
        <v>185</v>
      </c>
      <c r="E112" s="5" t="s">
        <v>179</v>
      </c>
      <c r="F112" s="5" t="s">
        <v>160</v>
      </c>
      <c r="G112" s="5">
        <v>5</v>
      </c>
      <c r="H112" s="5" t="s">
        <v>164</v>
      </c>
      <c r="I112" s="5">
        <v>3</v>
      </c>
      <c r="J112" s="5">
        <v>5</v>
      </c>
      <c r="K112" s="5">
        <v>5</v>
      </c>
      <c r="L112" s="5"/>
    </row>
    <row r="113" spans="1:12" x14ac:dyDescent="0.25">
      <c r="A113" s="5" t="s">
        <v>297</v>
      </c>
      <c r="B113" s="5" t="s">
        <v>159</v>
      </c>
      <c r="C113" s="5" t="s">
        <v>170</v>
      </c>
      <c r="D113" s="5" t="s">
        <v>185</v>
      </c>
      <c r="E113" s="5" t="s">
        <v>163</v>
      </c>
      <c r="F113" s="5" t="s">
        <v>162</v>
      </c>
      <c r="G113" s="5">
        <v>4</v>
      </c>
      <c r="H113" s="5" t="s">
        <v>168</v>
      </c>
      <c r="I113" s="5">
        <v>3</v>
      </c>
      <c r="J113" s="5">
        <v>5</v>
      </c>
      <c r="K113" s="5">
        <v>3</v>
      </c>
      <c r="L113" s="5" t="s">
        <v>203</v>
      </c>
    </row>
    <row r="114" spans="1:12" x14ac:dyDescent="0.25">
      <c r="A114" s="5" t="s">
        <v>298</v>
      </c>
      <c r="B114" s="5" t="s">
        <v>166</v>
      </c>
      <c r="C114" s="5" t="s">
        <v>190</v>
      </c>
      <c r="D114" s="5" t="s">
        <v>185</v>
      </c>
      <c r="E114" s="5" t="s">
        <v>163</v>
      </c>
      <c r="F114" s="5" t="s">
        <v>162</v>
      </c>
      <c r="G114" s="5">
        <v>3</v>
      </c>
      <c r="H114" s="5" t="s">
        <v>168</v>
      </c>
      <c r="I114" s="5">
        <v>3</v>
      </c>
      <c r="J114" s="5">
        <v>5</v>
      </c>
      <c r="K114" s="5">
        <v>3</v>
      </c>
      <c r="L114" s="5" t="s">
        <v>203</v>
      </c>
    </row>
    <row r="115" spans="1:12" x14ac:dyDescent="0.25">
      <c r="A115" s="5" t="s">
        <v>299</v>
      </c>
      <c r="B115" s="5" t="s">
        <v>159</v>
      </c>
      <c r="C115" s="5" t="s">
        <v>160</v>
      </c>
      <c r="D115" s="5" t="s">
        <v>185</v>
      </c>
      <c r="E115" s="5" t="s">
        <v>163</v>
      </c>
      <c r="F115" s="5" t="s">
        <v>160</v>
      </c>
      <c r="G115" s="5">
        <v>5</v>
      </c>
      <c r="H115" s="5" t="s">
        <v>201</v>
      </c>
      <c r="I115" s="5">
        <v>4</v>
      </c>
      <c r="J115" s="5">
        <v>3</v>
      </c>
      <c r="K115" s="5">
        <v>4</v>
      </c>
      <c r="L115" s="5"/>
    </row>
    <row r="116" spans="1:12" x14ac:dyDescent="0.25">
      <c r="A116" s="5" t="s">
        <v>300</v>
      </c>
      <c r="B116" s="5" t="s">
        <v>166</v>
      </c>
      <c r="C116" s="5" t="s">
        <v>167</v>
      </c>
      <c r="D116" s="5" t="s">
        <v>185</v>
      </c>
      <c r="E116" s="5" t="s">
        <v>163</v>
      </c>
      <c r="F116" s="5" t="s">
        <v>160</v>
      </c>
      <c r="G116" s="5">
        <v>3</v>
      </c>
      <c r="H116" s="5" t="s">
        <v>180</v>
      </c>
      <c r="I116" s="5">
        <v>2</v>
      </c>
      <c r="J116" s="5">
        <v>5</v>
      </c>
      <c r="K116" s="5">
        <v>2</v>
      </c>
      <c r="L116" s="5" t="s">
        <v>203</v>
      </c>
    </row>
    <row r="117" spans="1:12" x14ac:dyDescent="0.25">
      <c r="A117" s="5" t="s">
        <v>301</v>
      </c>
      <c r="B117" s="5" t="s">
        <v>159</v>
      </c>
      <c r="C117" s="5" t="s">
        <v>160</v>
      </c>
      <c r="D117" s="5" t="s">
        <v>171</v>
      </c>
      <c r="E117" s="5" t="s">
        <v>162</v>
      </c>
      <c r="F117" s="5" t="s">
        <v>160</v>
      </c>
      <c r="G117" s="5">
        <v>5</v>
      </c>
      <c r="H117" s="5" t="s">
        <v>168</v>
      </c>
      <c r="I117" s="5">
        <v>5</v>
      </c>
      <c r="J117" s="5">
        <v>3</v>
      </c>
      <c r="K117" s="5">
        <v>5</v>
      </c>
      <c r="L117" s="5"/>
    </row>
    <row r="118" spans="1:12" x14ac:dyDescent="0.25">
      <c r="A118" s="5" t="s">
        <v>302</v>
      </c>
      <c r="B118" s="5" t="s">
        <v>166</v>
      </c>
      <c r="C118" s="5" t="s">
        <v>196</v>
      </c>
      <c r="D118" s="5" t="s">
        <v>161</v>
      </c>
      <c r="E118" s="5" t="s">
        <v>163</v>
      </c>
      <c r="F118" s="5" t="s">
        <v>162</v>
      </c>
      <c r="G118" s="5">
        <v>3</v>
      </c>
      <c r="H118" s="5" t="s">
        <v>180</v>
      </c>
      <c r="I118" s="5">
        <v>4</v>
      </c>
      <c r="J118" s="5">
        <v>3</v>
      </c>
      <c r="K118" s="5">
        <v>4</v>
      </c>
      <c r="L118" s="5"/>
    </row>
    <row r="119" spans="1:12" x14ac:dyDescent="0.25">
      <c r="A119" s="5" t="s">
        <v>303</v>
      </c>
      <c r="B119" s="5" t="s">
        <v>159</v>
      </c>
      <c r="C119" s="5" t="s">
        <v>190</v>
      </c>
      <c r="D119" s="5" t="s">
        <v>176</v>
      </c>
      <c r="E119" s="5" t="s">
        <v>162</v>
      </c>
      <c r="F119" s="5" t="s">
        <v>162</v>
      </c>
      <c r="G119" s="5">
        <v>3</v>
      </c>
      <c r="H119" s="5" t="s">
        <v>168</v>
      </c>
      <c r="I119" s="5">
        <v>1</v>
      </c>
      <c r="J119" s="5">
        <v>3</v>
      </c>
      <c r="K119" s="5">
        <v>2</v>
      </c>
      <c r="L119" s="5"/>
    </row>
    <row r="120" spans="1:12" x14ac:dyDescent="0.25">
      <c r="A120" s="5" t="s">
        <v>304</v>
      </c>
      <c r="B120" s="5" t="s">
        <v>166</v>
      </c>
      <c r="C120" s="5" t="s">
        <v>170</v>
      </c>
      <c r="D120" s="5" t="s">
        <v>171</v>
      </c>
      <c r="E120" s="5" t="s">
        <v>179</v>
      </c>
      <c r="F120" s="5" t="s">
        <v>162</v>
      </c>
      <c r="G120" s="5">
        <v>2</v>
      </c>
      <c r="H120" s="5" t="s">
        <v>164</v>
      </c>
      <c r="I120" s="5">
        <v>3</v>
      </c>
      <c r="J120" s="5">
        <v>3</v>
      </c>
      <c r="K120" s="5">
        <v>1</v>
      </c>
      <c r="L120" s="5" t="s">
        <v>199</v>
      </c>
    </row>
    <row r="121" spans="1:12" x14ac:dyDescent="0.25">
      <c r="A121" s="5" t="s">
        <v>305</v>
      </c>
      <c r="B121" s="5" t="s">
        <v>166</v>
      </c>
      <c r="C121" s="5" t="s">
        <v>160</v>
      </c>
      <c r="D121" s="5" t="s">
        <v>161</v>
      </c>
      <c r="E121" s="5" t="s">
        <v>163</v>
      </c>
      <c r="F121" s="5" t="s">
        <v>162</v>
      </c>
      <c r="G121" s="5">
        <v>2</v>
      </c>
      <c r="H121" s="5" t="s">
        <v>201</v>
      </c>
      <c r="I121" s="5">
        <v>5</v>
      </c>
      <c r="J121" s="5">
        <v>1</v>
      </c>
      <c r="K121" s="5">
        <v>3</v>
      </c>
      <c r="L121" s="5" t="s">
        <v>213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2" width="24" customWidth="1"/>
  </cols>
  <sheetData>
    <row r="1" spans="1:12" x14ac:dyDescent="0.25">
      <c r="A1" s="7" t="s">
        <v>157</v>
      </c>
      <c r="B1" s="7" t="s">
        <v>82</v>
      </c>
      <c r="C1" s="7" t="s">
        <v>85</v>
      </c>
      <c r="D1" s="7" t="s">
        <v>88</v>
      </c>
      <c r="E1" s="7" t="s">
        <v>91</v>
      </c>
      <c r="F1" s="7" t="s">
        <v>94</v>
      </c>
      <c r="G1" s="7" t="s">
        <v>97</v>
      </c>
      <c r="H1" s="7" t="s">
        <v>100</v>
      </c>
      <c r="I1" s="7" t="s">
        <v>102</v>
      </c>
      <c r="J1" s="7" t="s">
        <v>104</v>
      </c>
      <c r="K1" s="7" t="s">
        <v>106</v>
      </c>
      <c r="L1" s="7" t="s">
        <v>108</v>
      </c>
    </row>
    <row r="2" spans="1:12" x14ac:dyDescent="0.25">
      <c r="A2" s="5" t="s">
        <v>306</v>
      </c>
      <c r="B2" s="5" t="s">
        <v>307</v>
      </c>
      <c r="C2" s="5" t="s">
        <v>308</v>
      </c>
      <c r="D2" s="5">
        <v>19</v>
      </c>
      <c r="E2" s="5" t="s">
        <v>162</v>
      </c>
      <c r="F2" s="5" t="s">
        <v>309</v>
      </c>
      <c r="G2" s="5">
        <v>5</v>
      </c>
      <c r="H2" s="5">
        <v>3</v>
      </c>
      <c r="I2" s="5">
        <v>2</v>
      </c>
      <c r="J2" s="5">
        <v>32</v>
      </c>
      <c r="K2" s="5">
        <v>2</v>
      </c>
      <c r="L2" s="5" t="s">
        <v>310</v>
      </c>
    </row>
    <row r="3" spans="1:12" x14ac:dyDescent="0.25">
      <c r="A3" s="5" t="s">
        <v>311</v>
      </c>
      <c r="B3" s="5" t="s">
        <v>312</v>
      </c>
      <c r="C3" s="5" t="s">
        <v>313</v>
      </c>
      <c r="D3" s="5">
        <v>30</v>
      </c>
      <c r="E3" s="5" t="s">
        <v>314</v>
      </c>
      <c r="F3" s="5" t="s">
        <v>315</v>
      </c>
      <c r="G3" s="5">
        <v>3</v>
      </c>
      <c r="H3" s="5">
        <v>4</v>
      </c>
      <c r="I3" s="5">
        <v>4</v>
      </c>
      <c r="J3" s="5">
        <v>34</v>
      </c>
      <c r="K3" s="5">
        <v>5</v>
      </c>
      <c r="L3" s="5"/>
    </row>
    <row r="4" spans="1:12" x14ac:dyDescent="0.25">
      <c r="A4" s="5" t="s">
        <v>316</v>
      </c>
      <c r="B4" s="5" t="s">
        <v>307</v>
      </c>
      <c r="C4" s="5" t="s">
        <v>313</v>
      </c>
      <c r="D4" s="5">
        <v>23</v>
      </c>
      <c r="E4" s="5" t="s">
        <v>317</v>
      </c>
      <c r="F4" s="5" t="s">
        <v>309</v>
      </c>
      <c r="G4" s="5">
        <v>5</v>
      </c>
      <c r="H4" s="5">
        <v>2</v>
      </c>
      <c r="I4" s="5">
        <v>3</v>
      </c>
      <c r="J4" s="5">
        <v>36</v>
      </c>
      <c r="K4" s="5">
        <v>4</v>
      </c>
      <c r="L4" s="5" t="s">
        <v>310</v>
      </c>
    </row>
    <row r="5" spans="1:12" x14ac:dyDescent="0.25">
      <c r="A5" s="5" t="s">
        <v>318</v>
      </c>
      <c r="B5" s="5" t="s">
        <v>307</v>
      </c>
      <c r="C5" s="5" t="s">
        <v>313</v>
      </c>
      <c r="D5" s="5">
        <v>23</v>
      </c>
      <c r="E5" s="5" t="s">
        <v>162</v>
      </c>
      <c r="F5" s="5" t="s">
        <v>309</v>
      </c>
      <c r="G5" s="5">
        <v>4</v>
      </c>
      <c r="H5" s="5">
        <v>4</v>
      </c>
      <c r="I5" s="5">
        <v>4</v>
      </c>
      <c r="J5" s="5">
        <v>10</v>
      </c>
      <c r="K5" s="5">
        <v>3</v>
      </c>
      <c r="L5" s="5" t="s">
        <v>319</v>
      </c>
    </row>
    <row r="6" spans="1:12" x14ac:dyDescent="0.25">
      <c r="A6" s="5" t="s">
        <v>320</v>
      </c>
      <c r="B6" s="5" t="s">
        <v>307</v>
      </c>
      <c r="C6" s="5" t="s">
        <v>313</v>
      </c>
      <c r="D6" s="5">
        <v>19</v>
      </c>
      <c r="E6" s="5" t="s">
        <v>162</v>
      </c>
      <c r="F6" s="5" t="s">
        <v>315</v>
      </c>
      <c r="G6" s="5">
        <v>4</v>
      </c>
      <c r="H6" s="5">
        <v>2</v>
      </c>
      <c r="I6" s="5">
        <v>3</v>
      </c>
      <c r="J6" s="5">
        <v>15</v>
      </c>
      <c r="K6" s="5">
        <v>4</v>
      </c>
      <c r="L6" s="5"/>
    </row>
    <row r="7" spans="1:12" x14ac:dyDescent="0.25">
      <c r="A7" s="5" t="s">
        <v>321</v>
      </c>
      <c r="B7" s="5" t="s">
        <v>307</v>
      </c>
      <c r="C7" s="5" t="s">
        <v>308</v>
      </c>
      <c r="D7" s="5">
        <v>26</v>
      </c>
      <c r="E7" s="5" t="s">
        <v>317</v>
      </c>
      <c r="F7" s="5" t="s">
        <v>315</v>
      </c>
      <c r="G7" s="5">
        <v>4</v>
      </c>
      <c r="H7" s="5">
        <v>4</v>
      </c>
      <c r="I7" s="5">
        <v>4</v>
      </c>
      <c r="J7" s="5">
        <v>57</v>
      </c>
      <c r="K7" s="5">
        <v>5</v>
      </c>
      <c r="L7" s="5"/>
    </row>
    <row r="8" spans="1:12" x14ac:dyDescent="0.25">
      <c r="A8" s="5" t="s">
        <v>322</v>
      </c>
      <c r="B8" s="5" t="s">
        <v>312</v>
      </c>
      <c r="C8" s="5" t="s">
        <v>313</v>
      </c>
      <c r="D8" s="5">
        <v>12</v>
      </c>
      <c r="E8" s="5" t="s">
        <v>317</v>
      </c>
      <c r="F8" s="5" t="s">
        <v>315</v>
      </c>
      <c r="G8" s="5">
        <v>5</v>
      </c>
      <c r="H8" s="5">
        <v>5</v>
      </c>
      <c r="I8" s="5">
        <v>5</v>
      </c>
      <c r="J8" s="5">
        <v>53</v>
      </c>
      <c r="K8" s="5">
        <v>5</v>
      </c>
      <c r="L8" s="5"/>
    </row>
    <row r="9" spans="1:12" x14ac:dyDescent="0.25">
      <c r="A9" s="5" t="s">
        <v>323</v>
      </c>
      <c r="B9" s="5" t="s">
        <v>307</v>
      </c>
      <c r="C9" s="5" t="s">
        <v>313</v>
      </c>
      <c r="D9" s="5">
        <v>19</v>
      </c>
      <c r="E9" s="5" t="s">
        <v>162</v>
      </c>
      <c r="F9" s="5" t="s">
        <v>170</v>
      </c>
      <c r="G9" s="5">
        <v>4</v>
      </c>
      <c r="H9" s="5">
        <v>5</v>
      </c>
      <c r="I9" s="5">
        <v>4</v>
      </c>
      <c r="J9" s="5">
        <v>43</v>
      </c>
      <c r="K9" s="5">
        <v>2</v>
      </c>
      <c r="L9" s="5"/>
    </row>
    <row r="10" spans="1:12" x14ac:dyDescent="0.25">
      <c r="A10" s="5" t="s">
        <v>324</v>
      </c>
      <c r="B10" s="5" t="s">
        <v>325</v>
      </c>
      <c r="C10" s="5" t="s">
        <v>308</v>
      </c>
      <c r="D10" s="5">
        <v>35</v>
      </c>
      <c r="E10" s="5" t="s">
        <v>314</v>
      </c>
      <c r="F10" s="5" t="s">
        <v>309</v>
      </c>
      <c r="G10" s="5">
        <v>4</v>
      </c>
      <c r="H10" s="5">
        <v>3</v>
      </c>
      <c r="I10" s="5">
        <v>2</v>
      </c>
      <c r="J10" s="5">
        <v>33</v>
      </c>
      <c r="K10" s="5">
        <v>3</v>
      </c>
      <c r="L10" s="5"/>
    </row>
    <row r="11" spans="1:12" x14ac:dyDescent="0.25">
      <c r="A11" s="5" t="s">
        <v>326</v>
      </c>
      <c r="B11" s="5" t="s">
        <v>325</v>
      </c>
      <c r="C11" s="5" t="s">
        <v>308</v>
      </c>
      <c r="D11" s="5">
        <v>25</v>
      </c>
      <c r="E11" s="5" t="s">
        <v>162</v>
      </c>
      <c r="F11" s="5" t="s">
        <v>315</v>
      </c>
      <c r="G11" s="5">
        <v>4</v>
      </c>
      <c r="H11" s="5">
        <v>5</v>
      </c>
      <c r="I11" s="5">
        <v>3</v>
      </c>
      <c r="J11" s="5">
        <v>43</v>
      </c>
      <c r="K11" s="5">
        <v>2</v>
      </c>
      <c r="L11" s="5" t="s">
        <v>327</v>
      </c>
    </row>
    <row r="12" spans="1:12" x14ac:dyDescent="0.25">
      <c r="A12" s="5" t="s">
        <v>328</v>
      </c>
      <c r="B12" s="5" t="s">
        <v>325</v>
      </c>
      <c r="C12" s="5" t="s">
        <v>308</v>
      </c>
      <c r="D12" s="5">
        <v>26</v>
      </c>
      <c r="E12" s="5" t="s">
        <v>162</v>
      </c>
      <c r="F12" s="5" t="s">
        <v>329</v>
      </c>
      <c r="G12" s="5">
        <v>5</v>
      </c>
      <c r="H12" s="5">
        <v>4</v>
      </c>
      <c r="I12" s="5">
        <v>4</v>
      </c>
      <c r="J12" s="5">
        <v>48</v>
      </c>
      <c r="K12" s="5">
        <v>1</v>
      </c>
      <c r="L12" s="5" t="s">
        <v>330</v>
      </c>
    </row>
    <row r="13" spans="1:12" x14ac:dyDescent="0.25">
      <c r="A13" s="5" t="s">
        <v>331</v>
      </c>
      <c r="B13" s="5" t="s">
        <v>312</v>
      </c>
      <c r="C13" s="5" t="s">
        <v>313</v>
      </c>
      <c r="D13" s="5">
        <v>5</v>
      </c>
      <c r="E13" s="5" t="s">
        <v>162</v>
      </c>
      <c r="F13" s="5" t="s">
        <v>315</v>
      </c>
      <c r="G13" s="5">
        <v>5</v>
      </c>
      <c r="H13" s="5">
        <v>5</v>
      </c>
      <c r="I13" s="5">
        <v>1</v>
      </c>
      <c r="J13" s="5">
        <v>42</v>
      </c>
      <c r="K13" s="5">
        <v>1</v>
      </c>
      <c r="L13" s="5"/>
    </row>
    <row r="14" spans="1:12" x14ac:dyDescent="0.25">
      <c r="A14" s="5" t="s">
        <v>332</v>
      </c>
      <c r="B14" s="5" t="s">
        <v>312</v>
      </c>
      <c r="C14" s="5" t="s">
        <v>333</v>
      </c>
      <c r="D14" s="5">
        <v>14</v>
      </c>
      <c r="E14" s="5" t="s">
        <v>317</v>
      </c>
      <c r="F14" s="5" t="s">
        <v>170</v>
      </c>
      <c r="G14" s="5">
        <v>3</v>
      </c>
      <c r="H14" s="5">
        <v>5</v>
      </c>
      <c r="I14" s="5">
        <v>1</v>
      </c>
      <c r="J14" s="5">
        <v>27</v>
      </c>
      <c r="K14" s="5">
        <v>2</v>
      </c>
      <c r="L14" s="5" t="s">
        <v>327</v>
      </c>
    </row>
    <row r="15" spans="1:12" x14ac:dyDescent="0.25">
      <c r="A15" s="5" t="s">
        <v>334</v>
      </c>
      <c r="B15" s="5" t="s">
        <v>312</v>
      </c>
      <c r="C15" s="5" t="s">
        <v>335</v>
      </c>
      <c r="D15" s="5">
        <v>17</v>
      </c>
      <c r="E15" s="5" t="s">
        <v>314</v>
      </c>
      <c r="F15" s="5" t="s">
        <v>315</v>
      </c>
      <c r="G15" s="5">
        <v>4</v>
      </c>
      <c r="H15" s="5">
        <v>5</v>
      </c>
      <c r="I15" s="5">
        <v>3</v>
      </c>
      <c r="J15" s="5">
        <v>43</v>
      </c>
      <c r="K15" s="5">
        <v>5</v>
      </c>
      <c r="L15" s="5" t="s">
        <v>330</v>
      </c>
    </row>
    <row r="16" spans="1:12" x14ac:dyDescent="0.25">
      <c r="A16" s="5" t="s">
        <v>336</v>
      </c>
      <c r="B16" s="5" t="s">
        <v>307</v>
      </c>
      <c r="C16" s="5" t="s">
        <v>313</v>
      </c>
      <c r="D16" s="5">
        <v>19</v>
      </c>
      <c r="E16" s="5" t="s">
        <v>162</v>
      </c>
      <c r="F16" s="5" t="s">
        <v>309</v>
      </c>
      <c r="G16" s="5">
        <v>3</v>
      </c>
      <c r="H16" s="5">
        <v>3</v>
      </c>
      <c r="I16" s="5">
        <v>3</v>
      </c>
      <c r="J16" s="5">
        <v>35</v>
      </c>
      <c r="K16" s="5">
        <v>3</v>
      </c>
      <c r="L16" s="5" t="s">
        <v>310</v>
      </c>
    </row>
    <row r="17" spans="1:12" x14ac:dyDescent="0.25">
      <c r="A17" s="5" t="s">
        <v>337</v>
      </c>
      <c r="B17" s="5" t="s">
        <v>312</v>
      </c>
      <c r="C17" s="5" t="s">
        <v>313</v>
      </c>
      <c r="D17" s="5">
        <v>5</v>
      </c>
      <c r="E17" s="5" t="s">
        <v>314</v>
      </c>
      <c r="F17" s="5" t="s">
        <v>309</v>
      </c>
      <c r="G17" s="5">
        <v>5</v>
      </c>
      <c r="H17" s="5">
        <v>4</v>
      </c>
      <c r="I17" s="5">
        <v>2</v>
      </c>
      <c r="J17" s="5">
        <v>24</v>
      </c>
      <c r="K17" s="5">
        <v>4</v>
      </c>
      <c r="L17" s="5"/>
    </row>
    <row r="18" spans="1:12" x14ac:dyDescent="0.25">
      <c r="A18" s="5" t="s">
        <v>338</v>
      </c>
      <c r="B18" s="5" t="s">
        <v>325</v>
      </c>
      <c r="C18" s="5" t="s">
        <v>335</v>
      </c>
      <c r="D18" s="5">
        <v>27</v>
      </c>
      <c r="E18" s="5" t="s">
        <v>162</v>
      </c>
      <c r="F18" s="5" t="s">
        <v>309</v>
      </c>
      <c r="G18" s="5">
        <v>2</v>
      </c>
      <c r="H18" s="5">
        <v>5</v>
      </c>
      <c r="I18" s="5">
        <v>4</v>
      </c>
      <c r="J18" s="5">
        <v>37</v>
      </c>
      <c r="K18" s="5">
        <v>3</v>
      </c>
      <c r="L18" s="5"/>
    </row>
    <row r="19" spans="1:12" x14ac:dyDescent="0.25">
      <c r="A19" s="5" t="s">
        <v>339</v>
      </c>
      <c r="B19" s="5" t="s">
        <v>325</v>
      </c>
      <c r="C19" s="5" t="s">
        <v>333</v>
      </c>
      <c r="D19" s="5">
        <v>20</v>
      </c>
      <c r="E19" s="5" t="s">
        <v>162</v>
      </c>
      <c r="F19" s="5" t="s">
        <v>170</v>
      </c>
      <c r="G19" s="5">
        <v>5</v>
      </c>
      <c r="H19" s="5">
        <v>4</v>
      </c>
      <c r="I19" s="5">
        <v>5</v>
      </c>
      <c r="J19" s="5">
        <v>10</v>
      </c>
      <c r="K19" s="5">
        <v>3</v>
      </c>
      <c r="L19" s="5" t="s">
        <v>340</v>
      </c>
    </row>
    <row r="20" spans="1:12" x14ac:dyDescent="0.25">
      <c r="A20" s="5" t="s">
        <v>341</v>
      </c>
      <c r="B20" s="5" t="s">
        <v>312</v>
      </c>
      <c r="C20" s="5" t="s">
        <v>313</v>
      </c>
      <c r="D20" s="5">
        <v>16</v>
      </c>
      <c r="E20" s="5" t="s">
        <v>314</v>
      </c>
      <c r="F20" s="5" t="s">
        <v>309</v>
      </c>
      <c r="G20" s="5">
        <v>4</v>
      </c>
      <c r="H20" s="5">
        <v>5</v>
      </c>
      <c r="I20" s="5">
        <v>3</v>
      </c>
      <c r="J20" s="5">
        <v>47</v>
      </c>
      <c r="K20" s="5">
        <v>2</v>
      </c>
      <c r="L20" s="5" t="s">
        <v>310</v>
      </c>
    </row>
    <row r="21" spans="1:12" x14ac:dyDescent="0.25">
      <c r="A21" s="5" t="s">
        <v>342</v>
      </c>
      <c r="B21" s="5" t="s">
        <v>312</v>
      </c>
      <c r="C21" s="5" t="s">
        <v>308</v>
      </c>
      <c r="D21" s="5">
        <v>26</v>
      </c>
      <c r="E21" s="5" t="s">
        <v>317</v>
      </c>
      <c r="F21" s="5" t="s">
        <v>170</v>
      </c>
      <c r="G21" s="5">
        <v>5</v>
      </c>
      <c r="H21" s="5">
        <v>1</v>
      </c>
      <c r="I21" s="5">
        <v>5</v>
      </c>
      <c r="J21" s="5">
        <v>36</v>
      </c>
      <c r="K21" s="5">
        <v>2</v>
      </c>
      <c r="L21" s="5" t="s">
        <v>319</v>
      </c>
    </row>
    <row r="22" spans="1:12" x14ac:dyDescent="0.25">
      <c r="A22" s="5" t="s">
        <v>343</v>
      </c>
      <c r="B22" s="5" t="s">
        <v>307</v>
      </c>
      <c r="C22" s="5" t="s">
        <v>313</v>
      </c>
      <c r="D22" s="5">
        <v>28</v>
      </c>
      <c r="E22" s="5" t="s">
        <v>314</v>
      </c>
      <c r="F22" s="5" t="s">
        <v>170</v>
      </c>
      <c r="G22" s="5">
        <v>1</v>
      </c>
      <c r="H22" s="5">
        <v>5</v>
      </c>
      <c r="I22" s="5">
        <v>4</v>
      </c>
      <c r="J22" s="5">
        <v>45</v>
      </c>
      <c r="K22" s="5">
        <v>5</v>
      </c>
      <c r="L22" s="5" t="s">
        <v>327</v>
      </c>
    </row>
    <row r="23" spans="1:12" x14ac:dyDescent="0.25">
      <c r="A23" s="5" t="s">
        <v>344</v>
      </c>
      <c r="B23" s="5" t="s">
        <v>312</v>
      </c>
      <c r="C23" s="5" t="s">
        <v>313</v>
      </c>
      <c r="D23" s="5">
        <v>25</v>
      </c>
      <c r="E23" s="5" t="s">
        <v>162</v>
      </c>
      <c r="F23" s="5" t="s">
        <v>170</v>
      </c>
      <c r="G23" s="5">
        <v>3</v>
      </c>
      <c r="H23" s="5">
        <v>4</v>
      </c>
      <c r="I23" s="5">
        <v>4</v>
      </c>
      <c r="J23" s="5">
        <v>16</v>
      </c>
      <c r="K23" s="5">
        <v>4</v>
      </c>
      <c r="L23" s="5"/>
    </row>
    <row r="24" spans="1:12" x14ac:dyDescent="0.25">
      <c r="A24" s="5" t="s">
        <v>345</v>
      </c>
      <c r="B24" s="5" t="s">
        <v>307</v>
      </c>
      <c r="C24" s="5" t="s">
        <v>313</v>
      </c>
      <c r="D24" s="5">
        <v>32</v>
      </c>
      <c r="E24" s="5" t="s">
        <v>314</v>
      </c>
      <c r="F24" s="5" t="s">
        <v>309</v>
      </c>
      <c r="G24" s="5">
        <v>4</v>
      </c>
      <c r="H24" s="5">
        <v>1</v>
      </c>
      <c r="I24" s="5">
        <v>3</v>
      </c>
      <c r="J24" s="5">
        <v>22</v>
      </c>
      <c r="K24" s="5">
        <v>2</v>
      </c>
      <c r="L24" s="5"/>
    </row>
    <row r="25" spans="1:12" x14ac:dyDescent="0.25">
      <c r="A25" s="5" t="s">
        <v>346</v>
      </c>
      <c r="B25" s="5" t="s">
        <v>307</v>
      </c>
      <c r="C25" s="5" t="s">
        <v>313</v>
      </c>
      <c r="D25" s="5">
        <v>20</v>
      </c>
      <c r="E25" s="5" t="s">
        <v>162</v>
      </c>
      <c r="F25" s="5" t="s">
        <v>309</v>
      </c>
      <c r="G25" s="5">
        <v>5</v>
      </c>
      <c r="H25" s="5">
        <v>3</v>
      </c>
      <c r="I25" s="5">
        <v>4</v>
      </c>
      <c r="J25" s="5">
        <v>27</v>
      </c>
      <c r="K25" s="5">
        <v>4</v>
      </c>
      <c r="L25" s="5"/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1" width="24" customWidth="1"/>
  </cols>
  <sheetData>
    <row r="1" spans="1:11" x14ac:dyDescent="0.25">
      <c r="A1" s="7" t="s">
        <v>157</v>
      </c>
      <c r="B1" s="7" t="s">
        <v>111</v>
      </c>
      <c r="C1" s="7" t="s">
        <v>113</v>
      </c>
      <c r="D1" s="7" t="s">
        <v>116</v>
      </c>
      <c r="E1" s="7" t="s">
        <v>118</v>
      </c>
      <c r="F1" s="7" t="s">
        <v>120</v>
      </c>
      <c r="G1" s="7" t="s">
        <v>123</v>
      </c>
      <c r="H1" s="7" t="s">
        <v>126</v>
      </c>
      <c r="I1" s="7" t="s">
        <v>128</v>
      </c>
      <c r="J1" s="7" t="s">
        <v>130</v>
      </c>
      <c r="K1" s="7" t="s">
        <v>132</v>
      </c>
    </row>
    <row r="2" spans="1:11" x14ac:dyDescent="0.25">
      <c r="A2" s="5" t="s">
        <v>347</v>
      </c>
      <c r="B2" s="5" t="s">
        <v>348</v>
      </c>
      <c r="C2" s="5" t="s">
        <v>349</v>
      </c>
      <c r="D2" s="5">
        <v>2</v>
      </c>
      <c r="E2" s="5">
        <v>21</v>
      </c>
      <c r="F2" s="5" t="s">
        <v>350</v>
      </c>
      <c r="G2" s="5" t="s">
        <v>351</v>
      </c>
      <c r="H2" s="5">
        <v>5</v>
      </c>
      <c r="I2" s="5">
        <v>4</v>
      </c>
      <c r="J2" s="5" t="s">
        <v>163</v>
      </c>
      <c r="K2" s="5"/>
    </row>
    <row r="3" spans="1:11" x14ac:dyDescent="0.25">
      <c r="A3" s="5" t="s">
        <v>352</v>
      </c>
      <c r="B3" s="5" t="s">
        <v>348</v>
      </c>
      <c r="C3" s="5" t="s">
        <v>349</v>
      </c>
      <c r="D3" s="5">
        <v>1</v>
      </c>
      <c r="E3" s="5">
        <v>20</v>
      </c>
      <c r="F3" s="5" t="s">
        <v>353</v>
      </c>
      <c r="G3" s="5" t="s">
        <v>354</v>
      </c>
      <c r="H3" s="5">
        <v>5</v>
      </c>
      <c r="I3" s="5">
        <v>5</v>
      </c>
      <c r="J3" s="5" t="s">
        <v>163</v>
      </c>
      <c r="K3" s="5"/>
    </row>
    <row r="4" spans="1:11" x14ac:dyDescent="0.25">
      <c r="A4" s="5" t="s">
        <v>355</v>
      </c>
      <c r="B4" s="5" t="s">
        <v>348</v>
      </c>
      <c r="C4" s="5" t="s">
        <v>349</v>
      </c>
      <c r="D4" s="5">
        <v>2</v>
      </c>
      <c r="E4" s="5">
        <v>32</v>
      </c>
      <c r="F4" s="5" t="s">
        <v>353</v>
      </c>
      <c r="G4" s="5" t="s">
        <v>354</v>
      </c>
      <c r="H4" s="5">
        <v>5</v>
      </c>
      <c r="I4" s="5">
        <v>3</v>
      </c>
      <c r="J4" s="5" t="s">
        <v>163</v>
      </c>
      <c r="K4" s="5"/>
    </row>
    <row r="5" spans="1:11" x14ac:dyDescent="0.25">
      <c r="A5" s="5" t="s">
        <v>356</v>
      </c>
      <c r="B5" s="5" t="s">
        <v>348</v>
      </c>
      <c r="C5" s="5" t="s">
        <v>349</v>
      </c>
      <c r="D5" s="5">
        <v>2</v>
      </c>
      <c r="E5" s="5">
        <v>13</v>
      </c>
      <c r="F5" s="5" t="s">
        <v>357</v>
      </c>
      <c r="G5" s="5" t="s">
        <v>351</v>
      </c>
      <c r="H5" s="5">
        <v>3</v>
      </c>
      <c r="I5" s="5">
        <v>4</v>
      </c>
      <c r="J5" s="5" t="s">
        <v>163</v>
      </c>
      <c r="K5" s="5" t="s">
        <v>358</v>
      </c>
    </row>
    <row r="6" spans="1:11" x14ac:dyDescent="0.25">
      <c r="A6" s="5" t="s">
        <v>359</v>
      </c>
      <c r="B6" s="5" t="s">
        <v>348</v>
      </c>
      <c r="C6" s="5" t="s">
        <v>360</v>
      </c>
      <c r="D6" s="5">
        <v>1</v>
      </c>
      <c r="E6" s="5">
        <v>5</v>
      </c>
      <c r="F6" s="5" t="s">
        <v>361</v>
      </c>
      <c r="G6" s="5" t="s">
        <v>354</v>
      </c>
      <c r="H6" s="5">
        <v>4</v>
      </c>
      <c r="I6" s="5">
        <v>5</v>
      </c>
      <c r="J6" s="5" t="s">
        <v>163</v>
      </c>
      <c r="K6" s="5"/>
    </row>
    <row r="7" spans="1:11" x14ac:dyDescent="0.25">
      <c r="A7" s="5" t="s">
        <v>362</v>
      </c>
      <c r="B7" s="5" t="s">
        <v>348</v>
      </c>
      <c r="C7" s="5" t="s">
        <v>349</v>
      </c>
      <c r="D7" s="5">
        <v>3</v>
      </c>
      <c r="E7" s="5">
        <v>42</v>
      </c>
      <c r="F7" s="5" t="s">
        <v>353</v>
      </c>
      <c r="G7" s="5" t="s">
        <v>185</v>
      </c>
      <c r="H7" s="5">
        <v>5</v>
      </c>
      <c r="I7" s="5">
        <v>5</v>
      </c>
      <c r="J7" s="5" t="s">
        <v>163</v>
      </c>
      <c r="K7" s="5" t="s">
        <v>358</v>
      </c>
    </row>
    <row r="8" spans="1:11" x14ac:dyDescent="0.25">
      <c r="A8" s="5" t="s">
        <v>363</v>
      </c>
      <c r="B8" s="5" t="s">
        <v>348</v>
      </c>
      <c r="C8" s="5" t="s">
        <v>360</v>
      </c>
      <c r="D8" s="5">
        <v>2</v>
      </c>
      <c r="E8" s="5">
        <v>20</v>
      </c>
      <c r="F8" s="5" t="s">
        <v>361</v>
      </c>
      <c r="G8" s="5" t="s">
        <v>185</v>
      </c>
      <c r="H8" s="5">
        <v>3</v>
      </c>
      <c r="I8" s="5">
        <v>1</v>
      </c>
      <c r="J8" s="5" t="s">
        <v>179</v>
      </c>
      <c r="K8" s="5"/>
    </row>
    <row r="9" spans="1:11" x14ac:dyDescent="0.25">
      <c r="A9" s="5" t="s">
        <v>364</v>
      </c>
      <c r="B9" s="5" t="s">
        <v>365</v>
      </c>
      <c r="C9" s="5" t="s">
        <v>349</v>
      </c>
      <c r="D9" s="5">
        <v>1</v>
      </c>
      <c r="E9" s="5">
        <v>42</v>
      </c>
      <c r="F9" s="5" t="s">
        <v>353</v>
      </c>
      <c r="G9" s="5" t="s">
        <v>354</v>
      </c>
      <c r="H9" s="5">
        <v>4</v>
      </c>
      <c r="I9" s="5">
        <v>5</v>
      </c>
      <c r="J9" s="5" t="s">
        <v>179</v>
      </c>
      <c r="K9" s="5" t="s">
        <v>366</v>
      </c>
    </row>
    <row r="10" spans="1:11" x14ac:dyDescent="0.25">
      <c r="A10" s="5" t="s">
        <v>367</v>
      </c>
      <c r="B10" s="5" t="s">
        <v>348</v>
      </c>
      <c r="C10" s="5" t="s">
        <v>360</v>
      </c>
      <c r="D10" s="5">
        <v>4</v>
      </c>
      <c r="E10" s="5">
        <v>37</v>
      </c>
      <c r="F10" s="5" t="s">
        <v>353</v>
      </c>
      <c r="G10" s="5" t="s">
        <v>368</v>
      </c>
      <c r="H10" s="5">
        <v>5</v>
      </c>
      <c r="I10" s="5">
        <v>3</v>
      </c>
      <c r="J10" s="5" t="s">
        <v>179</v>
      </c>
      <c r="K10" s="5"/>
    </row>
    <row r="11" spans="1:11" x14ac:dyDescent="0.25">
      <c r="A11" s="5" t="s">
        <v>369</v>
      </c>
      <c r="B11" s="5" t="s">
        <v>365</v>
      </c>
      <c r="C11" s="5" t="s">
        <v>349</v>
      </c>
      <c r="D11" s="5">
        <v>2</v>
      </c>
      <c r="E11" s="5">
        <v>39</v>
      </c>
      <c r="F11" s="5" t="s">
        <v>350</v>
      </c>
      <c r="G11" s="5" t="s">
        <v>354</v>
      </c>
      <c r="H11" s="5">
        <v>5</v>
      </c>
      <c r="I11" s="5">
        <v>4</v>
      </c>
      <c r="J11" s="5" t="s">
        <v>179</v>
      </c>
      <c r="K11" s="5" t="s">
        <v>370</v>
      </c>
    </row>
    <row r="12" spans="1:11" x14ac:dyDescent="0.25">
      <c r="A12" s="5" t="s">
        <v>371</v>
      </c>
      <c r="B12" s="5" t="s">
        <v>348</v>
      </c>
      <c r="C12" s="5" t="s">
        <v>349</v>
      </c>
      <c r="D12" s="5">
        <v>3</v>
      </c>
      <c r="E12" s="5">
        <v>37</v>
      </c>
      <c r="F12" s="5" t="s">
        <v>353</v>
      </c>
      <c r="G12" s="5" t="s">
        <v>368</v>
      </c>
      <c r="H12" s="5">
        <v>5</v>
      </c>
      <c r="I12" s="5">
        <v>5</v>
      </c>
      <c r="J12" s="5" t="s">
        <v>163</v>
      </c>
      <c r="K12" s="5"/>
    </row>
    <row r="13" spans="1:11" x14ac:dyDescent="0.25">
      <c r="A13" s="5" t="s">
        <v>372</v>
      </c>
      <c r="B13" s="5" t="s">
        <v>373</v>
      </c>
      <c r="C13" s="5" t="s">
        <v>349</v>
      </c>
      <c r="D13" s="5">
        <v>3</v>
      </c>
      <c r="E13" s="5">
        <v>22</v>
      </c>
      <c r="F13" s="5" t="s">
        <v>357</v>
      </c>
      <c r="G13" s="5" t="s">
        <v>185</v>
      </c>
      <c r="H13" s="5">
        <v>5</v>
      </c>
      <c r="I13" s="5">
        <v>5</v>
      </c>
      <c r="J13" s="5" t="s">
        <v>179</v>
      </c>
      <c r="K13" s="5" t="s">
        <v>358</v>
      </c>
    </row>
    <row r="14" spans="1:11" x14ac:dyDescent="0.25">
      <c r="A14" s="5" t="s">
        <v>374</v>
      </c>
      <c r="B14" s="5" t="s">
        <v>348</v>
      </c>
      <c r="C14" s="5" t="s">
        <v>375</v>
      </c>
      <c r="D14" s="5">
        <v>2</v>
      </c>
      <c r="E14" s="5">
        <v>43</v>
      </c>
      <c r="F14" s="5" t="s">
        <v>357</v>
      </c>
      <c r="G14" s="5" t="s">
        <v>354</v>
      </c>
      <c r="H14" s="5">
        <v>5</v>
      </c>
      <c r="I14" s="5">
        <v>3</v>
      </c>
      <c r="J14" s="5" t="s">
        <v>179</v>
      </c>
      <c r="K14" s="5"/>
    </row>
    <row r="15" spans="1:11" x14ac:dyDescent="0.25">
      <c r="A15" s="5" t="s">
        <v>376</v>
      </c>
      <c r="B15" s="5" t="s">
        <v>348</v>
      </c>
      <c r="C15" s="5" t="s">
        <v>349</v>
      </c>
      <c r="D15" s="5">
        <v>4</v>
      </c>
      <c r="E15" s="5">
        <v>35</v>
      </c>
      <c r="F15" s="5" t="s">
        <v>350</v>
      </c>
      <c r="G15" s="5" t="s">
        <v>377</v>
      </c>
      <c r="H15" s="5">
        <v>4</v>
      </c>
      <c r="I15" s="5">
        <v>5</v>
      </c>
      <c r="J15" s="5" t="s">
        <v>163</v>
      </c>
      <c r="K15" s="5"/>
    </row>
    <row r="16" spans="1:11" x14ac:dyDescent="0.25">
      <c r="A16" s="5" t="s">
        <v>378</v>
      </c>
      <c r="B16" s="5" t="s">
        <v>373</v>
      </c>
      <c r="C16" s="5" t="s">
        <v>375</v>
      </c>
      <c r="D16" s="5">
        <v>3</v>
      </c>
      <c r="E16" s="5">
        <v>29</v>
      </c>
      <c r="F16" s="5" t="s">
        <v>357</v>
      </c>
      <c r="G16" s="5" t="s">
        <v>368</v>
      </c>
      <c r="H16" s="5">
        <v>4</v>
      </c>
      <c r="I16" s="5">
        <v>4</v>
      </c>
      <c r="J16" s="5" t="s">
        <v>162</v>
      </c>
      <c r="K16" s="5"/>
    </row>
    <row r="17" spans="1:11" x14ac:dyDescent="0.25">
      <c r="A17" s="5" t="s">
        <v>379</v>
      </c>
      <c r="B17" s="5" t="s">
        <v>348</v>
      </c>
      <c r="C17" s="5" t="s">
        <v>349</v>
      </c>
      <c r="D17" s="5">
        <v>2</v>
      </c>
      <c r="E17" s="5">
        <v>18</v>
      </c>
      <c r="F17" s="5" t="s">
        <v>353</v>
      </c>
      <c r="G17" s="5" t="s">
        <v>368</v>
      </c>
      <c r="H17" s="5">
        <v>4</v>
      </c>
      <c r="I17" s="5">
        <v>5</v>
      </c>
      <c r="J17" s="5" t="s">
        <v>163</v>
      </c>
      <c r="K17" s="5"/>
    </row>
    <row r="18" spans="1:11" x14ac:dyDescent="0.25">
      <c r="A18" s="5" t="s">
        <v>380</v>
      </c>
      <c r="B18" s="5" t="s">
        <v>348</v>
      </c>
      <c r="C18" s="5" t="s">
        <v>349</v>
      </c>
      <c r="D18" s="5">
        <v>4</v>
      </c>
      <c r="E18" s="5">
        <v>37</v>
      </c>
      <c r="F18" s="5" t="s">
        <v>361</v>
      </c>
      <c r="G18" s="5" t="s">
        <v>368</v>
      </c>
      <c r="H18" s="5">
        <v>2</v>
      </c>
      <c r="I18" s="5">
        <v>5</v>
      </c>
      <c r="J18" s="5" t="s">
        <v>163</v>
      </c>
      <c r="K18" s="5"/>
    </row>
    <row r="19" spans="1:11" x14ac:dyDescent="0.25">
      <c r="A19" s="5" t="s">
        <v>381</v>
      </c>
      <c r="B19" s="5" t="s">
        <v>348</v>
      </c>
      <c r="C19" s="5" t="s">
        <v>349</v>
      </c>
      <c r="D19" s="5">
        <v>3</v>
      </c>
      <c r="E19" s="5">
        <v>33</v>
      </c>
      <c r="F19" s="5" t="s">
        <v>350</v>
      </c>
      <c r="G19" s="5" t="s">
        <v>354</v>
      </c>
      <c r="H19" s="5">
        <v>4</v>
      </c>
      <c r="I19" s="5">
        <v>5</v>
      </c>
      <c r="J19" s="5" t="s">
        <v>163</v>
      </c>
      <c r="K19" s="5" t="s">
        <v>366</v>
      </c>
    </row>
    <row r="20" spans="1:11" x14ac:dyDescent="0.25">
      <c r="A20" s="5" t="s">
        <v>382</v>
      </c>
      <c r="B20" s="5" t="s">
        <v>373</v>
      </c>
      <c r="C20" s="5" t="s">
        <v>349</v>
      </c>
      <c r="D20" s="5">
        <v>3</v>
      </c>
      <c r="E20" s="5">
        <v>44</v>
      </c>
      <c r="F20" s="5" t="s">
        <v>353</v>
      </c>
      <c r="G20" s="5" t="s">
        <v>368</v>
      </c>
      <c r="H20" s="5">
        <v>5</v>
      </c>
      <c r="I20" s="5">
        <v>5</v>
      </c>
      <c r="J20" s="5" t="s">
        <v>179</v>
      </c>
      <c r="K20" s="5"/>
    </row>
    <row r="21" spans="1:11" x14ac:dyDescent="0.25">
      <c r="A21" s="5" t="s">
        <v>383</v>
      </c>
      <c r="B21" s="5" t="s">
        <v>348</v>
      </c>
      <c r="C21" s="5" t="s">
        <v>360</v>
      </c>
      <c r="D21" s="5">
        <v>3</v>
      </c>
      <c r="E21" s="5">
        <v>35</v>
      </c>
      <c r="F21" s="5" t="s">
        <v>357</v>
      </c>
      <c r="G21" s="5" t="s">
        <v>351</v>
      </c>
      <c r="H21" s="5">
        <v>5</v>
      </c>
      <c r="I21" s="5">
        <v>4</v>
      </c>
      <c r="J21" s="5" t="s">
        <v>179</v>
      </c>
      <c r="K21" s="5" t="s">
        <v>366</v>
      </c>
    </row>
    <row r="22" spans="1:11" x14ac:dyDescent="0.25">
      <c r="A22" s="5" t="s">
        <v>384</v>
      </c>
      <c r="B22" s="5" t="s">
        <v>348</v>
      </c>
      <c r="C22" s="5" t="s">
        <v>375</v>
      </c>
      <c r="D22" s="5">
        <v>4</v>
      </c>
      <c r="E22" s="5">
        <v>17</v>
      </c>
      <c r="F22" s="5" t="s">
        <v>353</v>
      </c>
      <c r="G22" s="5" t="s">
        <v>368</v>
      </c>
      <c r="H22" s="5">
        <v>4</v>
      </c>
      <c r="I22" s="5">
        <v>4</v>
      </c>
      <c r="J22" s="5" t="s">
        <v>162</v>
      </c>
      <c r="K22" s="5"/>
    </row>
    <row r="23" spans="1:11" x14ac:dyDescent="0.25">
      <c r="A23" s="5" t="s">
        <v>385</v>
      </c>
      <c r="B23" s="5" t="s">
        <v>348</v>
      </c>
      <c r="C23" s="5" t="s">
        <v>375</v>
      </c>
      <c r="D23" s="5">
        <v>3</v>
      </c>
      <c r="E23" s="5">
        <v>46</v>
      </c>
      <c r="F23" s="5" t="s">
        <v>357</v>
      </c>
      <c r="G23" s="5" t="s">
        <v>351</v>
      </c>
      <c r="H23" s="5">
        <v>3</v>
      </c>
      <c r="I23" s="5">
        <v>4</v>
      </c>
      <c r="J23" s="5" t="s">
        <v>163</v>
      </c>
      <c r="K23" s="5"/>
    </row>
    <row r="24" spans="1:11" x14ac:dyDescent="0.25">
      <c r="A24" s="5" t="s">
        <v>386</v>
      </c>
      <c r="B24" s="5" t="s">
        <v>348</v>
      </c>
      <c r="C24" s="5" t="s">
        <v>375</v>
      </c>
      <c r="D24" s="5">
        <v>3</v>
      </c>
      <c r="E24" s="5">
        <v>35</v>
      </c>
      <c r="F24" s="5" t="s">
        <v>350</v>
      </c>
      <c r="G24" s="5" t="s">
        <v>185</v>
      </c>
      <c r="H24" s="5">
        <v>5</v>
      </c>
      <c r="I24" s="5">
        <v>5</v>
      </c>
      <c r="J24" s="5" t="s">
        <v>163</v>
      </c>
      <c r="K24" s="5"/>
    </row>
    <row r="25" spans="1:11" x14ac:dyDescent="0.25">
      <c r="A25" s="5" t="s">
        <v>387</v>
      </c>
      <c r="B25" s="5" t="s">
        <v>348</v>
      </c>
      <c r="C25" s="5" t="s">
        <v>360</v>
      </c>
      <c r="D25" s="5">
        <v>3</v>
      </c>
      <c r="E25" s="5">
        <v>40</v>
      </c>
      <c r="F25" s="5" t="s">
        <v>353</v>
      </c>
      <c r="G25" s="5" t="s">
        <v>354</v>
      </c>
      <c r="H25" s="5">
        <v>4</v>
      </c>
      <c r="I25" s="5">
        <v>5</v>
      </c>
      <c r="J25" s="5" t="s">
        <v>179</v>
      </c>
      <c r="K25" s="5"/>
    </row>
    <row r="26" spans="1:11" x14ac:dyDescent="0.25">
      <c r="A26" s="5" t="s">
        <v>388</v>
      </c>
      <c r="B26" s="5" t="s">
        <v>348</v>
      </c>
      <c r="C26" s="5" t="s">
        <v>360</v>
      </c>
      <c r="D26" s="5">
        <v>1</v>
      </c>
      <c r="E26" s="5">
        <v>7</v>
      </c>
      <c r="F26" s="5" t="s">
        <v>353</v>
      </c>
      <c r="G26" s="5" t="s">
        <v>368</v>
      </c>
      <c r="H26" s="5">
        <v>4</v>
      </c>
      <c r="I26" s="5">
        <v>5</v>
      </c>
      <c r="J26" s="5" t="s">
        <v>163</v>
      </c>
      <c r="K26" s="5" t="s">
        <v>389</v>
      </c>
    </row>
    <row r="27" spans="1:11" x14ac:dyDescent="0.25">
      <c r="A27" s="5" t="s">
        <v>390</v>
      </c>
      <c r="B27" s="5" t="s">
        <v>373</v>
      </c>
      <c r="C27" s="5" t="s">
        <v>349</v>
      </c>
      <c r="D27" s="5">
        <v>3</v>
      </c>
      <c r="E27" s="5">
        <v>25</v>
      </c>
      <c r="F27" s="5" t="s">
        <v>353</v>
      </c>
      <c r="G27" s="5" t="s">
        <v>354</v>
      </c>
      <c r="H27" s="5">
        <v>4</v>
      </c>
      <c r="I27" s="5">
        <v>4</v>
      </c>
      <c r="J27" s="5" t="s">
        <v>179</v>
      </c>
      <c r="K27" s="5" t="s">
        <v>389</v>
      </c>
    </row>
    <row r="28" spans="1:11" x14ac:dyDescent="0.25">
      <c r="A28" s="5" t="s">
        <v>391</v>
      </c>
      <c r="B28" s="5" t="s">
        <v>348</v>
      </c>
      <c r="C28" s="5" t="s">
        <v>349</v>
      </c>
      <c r="D28" s="5">
        <v>5</v>
      </c>
      <c r="E28" s="5">
        <v>5</v>
      </c>
      <c r="F28" s="5" t="s">
        <v>357</v>
      </c>
      <c r="G28" s="5" t="s">
        <v>354</v>
      </c>
      <c r="H28" s="5">
        <v>4</v>
      </c>
      <c r="I28" s="5">
        <v>2</v>
      </c>
      <c r="J28" s="5" t="s">
        <v>163</v>
      </c>
      <c r="K28" s="5" t="s">
        <v>389</v>
      </c>
    </row>
    <row r="29" spans="1:11" x14ac:dyDescent="0.25">
      <c r="A29" s="5" t="s">
        <v>392</v>
      </c>
      <c r="B29" s="5" t="s">
        <v>348</v>
      </c>
      <c r="C29" s="5" t="s">
        <v>349</v>
      </c>
      <c r="D29" s="5">
        <v>2</v>
      </c>
      <c r="E29" s="5">
        <v>41</v>
      </c>
      <c r="F29" s="5" t="s">
        <v>357</v>
      </c>
      <c r="G29" s="5" t="s">
        <v>368</v>
      </c>
      <c r="H29" s="5">
        <v>5</v>
      </c>
      <c r="I29" s="5">
        <v>5</v>
      </c>
      <c r="J29" s="5" t="s">
        <v>163</v>
      </c>
      <c r="K29" s="5" t="s">
        <v>389</v>
      </c>
    </row>
    <row r="30" spans="1:11" x14ac:dyDescent="0.25">
      <c r="A30" s="5" t="s">
        <v>393</v>
      </c>
      <c r="B30" s="5" t="s">
        <v>348</v>
      </c>
      <c r="C30" s="5" t="s">
        <v>349</v>
      </c>
      <c r="D30" s="5">
        <v>2</v>
      </c>
      <c r="E30" s="5">
        <v>32</v>
      </c>
      <c r="F30" s="5" t="s">
        <v>353</v>
      </c>
      <c r="G30" s="5" t="s">
        <v>185</v>
      </c>
      <c r="H30" s="5">
        <v>5</v>
      </c>
      <c r="I30" s="5">
        <v>4</v>
      </c>
      <c r="J30" s="5" t="s">
        <v>163</v>
      </c>
      <c r="K30" s="5" t="s">
        <v>358</v>
      </c>
    </row>
    <row r="31" spans="1:11" x14ac:dyDescent="0.25">
      <c r="A31" s="5" t="s">
        <v>394</v>
      </c>
      <c r="B31" s="5" t="s">
        <v>348</v>
      </c>
      <c r="C31" s="5" t="s">
        <v>349</v>
      </c>
      <c r="D31" s="5">
        <v>3</v>
      </c>
      <c r="E31" s="5">
        <v>27</v>
      </c>
      <c r="F31" s="5" t="s">
        <v>353</v>
      </c>
      <c r="G31" s="5" t="s">
        <v>368</v>
      </c>
      <c r="H31" s="5">
        <v>5</v>
      </c>
      <c r="I31" s="5">
        <v>5</v>
      </c>
      <c r="J31" s="5" t="s">
        <v>163</v>
      </c>
      <c r="K31" s="5" t="s">
        <v>366</v>
      </c>
    </row>
    <row r="32" spans="1:11" x14ac:dyDescent="0.25">
      <c r="A32" s="5" t="s">
        <v>395</v>
      </c>
      <c r="B32" s="5" t="s">
        <v>373</v>
      </c>
      <c r="C32" s="5" t="s">
        <v>349</v>
      </c>
      <c r="D32" s="5">
        <v>5</v>
      </c>
      <c r="E32" s="5">
        <v>27</v>
      </c>
      <c r="F32" s="5" t="s">
        <v>361</v>
      </c>
      <c r="G32" s="5" t="s">
        <v>185</v>
      </c>
      <c r="H32" s="5">
        <v>4</v>
      </c>
      <c r="I32" s="5">
        <v>5</v>
      </c>
      <c r="J32" s="5" t="s">
        <v>163</v>
      </c>
      <c r="K32" s="5" t="s">
        <v>358</v>
      </c>
    </row>
    <row r="33" spans="1:11" x14ac:dyDescent="0.25">
      <c r="A33" s="5" t="s">
        <v>396</v>
      </c>
      <c r="B33" s="5" t="s">
        <v>365</v>
      </c>
      <c r="C33" s="5" t="s">
        <v>360</v>
      </c>
      <c r="D33" s="5">
        <v>4</v>
      </c>
      <c r="E33" s="5">
        <v>56</v>
      </c>
      <c r="F33" s="5" t="s">
        <v>357</v>
      </c>
      <c r="G33" s="5" t="s">
        <v>377</v>
      </c>
      <c r="H33" s="5">
        <v>3</v>
      </c>
      <c r="I33" s="5">
        <v>3</v>
      </c>
      <c r="J33" s="5" t="s">
        <v>163</v>
      </c>
      <c r="K33" s="5"/>
    </row>
    <row r="34" spans="1:11" x14ac:dyDescent="0.25">
      <c r="A34" s="5" t="s">
        <v>397</v>
      </c>
      <c r="B34" s="5" t="s">
        <v>348</v>
      </c>
      <c r="C34" s="5" t="s">
        <v>349</v>
      </c>
      <c r="D34" s="5">
        <v>4</v>
      </c>
      <c r="E34" s="5">
        <v>37</v>
      </c>
      <c r="F34" s="5" t="s">
        <v>357</v>
      </c>
      <c r="G34" s="5" t="s">
        <v>354</v>
      </c>
      <c r="H34" s="5">
        <v>3</v>
      </c>
      <c r="I34" s="5">
        <v>5</v>
      </c>
      <c r="J34" s="5" t="s">
        <v>162</v>
      </c>
      <c r="K34" s="5"/>
    </row>
    <row r="35" spans="1:11" x14ac:dyDescent="0.25">
      <c r="A35" s="5" t="s">
        <v>398</v>
      </c>
      <c r="B35" s="5" t="s">
        <v>348</v>
      </c>
      <c r="C35" s="5" t="s">
        <v>349</v>
      </c>
      <c r="D35" s="5">
        <v>2</v>
      </c>
      <c r="E35" s="5">
        <v>40</v>
      </c>
      <c r="F35" s="5" t="s">
        <v>353</v>
      </c>
      <c r="G35" s="5" t="s">
        <v>185</v>
      </c>
      <c r="H35" s="5">
        <v>4</v>
      </c>
      <c r="I35" s="5">
        <v>5</v>
      </c>
      <c r="J35" s="5" t="s">
        <v>179</v>
      </c>
      <c r="K35" s="5"/>
    </row>
    <row r="36" spans="1:11" x14ac:dyDescent="0.25">
      <c r="A36" s="5" t="s">
        <v>399</v>
      </c>
      <c r="B36" s="5" t="s">
        <v>373</v>
      </c>
      <c r="C36" s="5" t="s">
        <v>349</v>
      </c>
      <c r="D36" s="5">
        <v>3</v>
      </c>
      <c r="E36" s="5">
        <v>23</v>
      </c>
      <c r="F36" s="5" t="s">
        <v>361</v>
      </c>
      <c r="G36" s="5" t="s">
        <v>354</v>
      </c>
      <c r="H36" s="5">
        <v>5</v>
      </c>
      <c r="I36" s="5">
        <v>5</v>
      </c>
      <c r="J36" s="5" t="s">
        <v>163</v>
      </c>
      <c r="K36" s="5"/>
    </row>
    <row r="37" spans="1:11" x14ac:dyDescent="0.25">
      <c r="A37" s="5" t="s">
        <v>400</v>
      </c>
      <c r="B37" s="5" t="s">
        <v>348</v>
      </c>
      <c r="C37" s="5" t="s">
        <v>375</v>
      </c>
      <c r="D37" s="5">
        <v>2</v>
      </c>
      <c r="E37" s="5">
        <v>17</v>
      </c>
      <c r="F37" s="5" t="s">
        <v>353</v>
      </c>
      <c r="G37" s="5" t="s">
        <v>377</v>
      </c>
      <c r="H37" s="5">
        <v>5</v>
      </c>
      <c r="I37" s="5">
        <v>4</v>
      </c>
      <c r="J37" s="5" t="s">
        <v>163</v>
      </c>
      <c r="K37" s="5"/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1" width="24" customWidth="1"/>
  </cols>
  <sheetData>
    <row r="1" spans="1:11" x14ac:dyDescent="0.25">
      <c r="A1" s="7" t="s">
        <v>157</v>
      </c>
      <c r="B1" s="7" t="s">
        <v>134</v>
      </c>
      <c r="C1" s="7" t="s">
        <v>137</v>
      </c>
      <c r="D1" s="7" t="s">
        <v>139</v>
      </c>
      <c r="E1" s="7" t="s">
        <v>142</v>
      </c>
      <c r="F1" s="7" t="s">
        <v>144</v>
      </c>
      <c r="G1" s="7" t="s">
        <v>147</v>
      </c>
      <c r="H1" s="7" t="s">
        <v>149</v>
      </c>
      <c r="I1" s="7" t="s">
        <v>151</v>
      </c>
      <c r="J1" s="7" t="s">
        <v>154</v>
      </c>
      <c r="K1" s="7" t="s">
        <v>156</v>
      </c>
    </row>
    <row r="2" spans="1:11" x14ac:dyDescent="0.25">
      <c r="A2" s="5" t="s">
        <v>401</v>
      </c>
      <c r="B2" s="5" t="s">
        <v>402</v>
      </c>
      <c r="C2" s="5">
        <v>5</v>
      </c>
      <c r="D2" s="5" t="s">
        <v>403</v>
      </c>
      <c r="E2" s="5">
        <v>2</v>
      </c>
      <c r="F2" s="5" t="s">
        <v>329</v>
      </c>
      <c r="G2" s="5" t="s">
        <v>179</v>
      </c>
      <c r="H2" s="5">
        <v>4</v>
      </c>
      <c r="I2" s="5" t="s">
        <v>404</v>
      </c>
      <c r="J2" s="5">
        <v>9</v>
      </c>
      <c r="K2" s="5" t="s">
        <v>405</v>
      </c>
    </row>
    <row r="3" spans="1:11" x14ac:dyDescent="0.25">
      <c r="A3" s="5" t="s">
        <v>406</v>
      </c>
      <c r="B3" s="5" t="s">
        <v>402</v>
      </c>
      <c r="C3" s="5">
        <v>4</v>
      </c>
      <c r="D3" s="5" t="s">
        <v>407</v>
      </c>
      <c r="E3" s="5">
        <v>1</v>
      </c>
      <c r="F3" s="5" t="s">
        <v>160</v>
      </c>
      <c r="G3" s="5" t="s">
        <v>163</v>
      </c>
      <c r="H3" s="5">
        <v>5</v>
      </c>
      <c r="I3" s="5" t="s">
        <v>162</v>
      </c>
      <c r="J3" s="5">
        <v>5</v>
      </c>
      <c r="K3" s="5"/>
    </row>
    <row r="4" spans="1:11" x14ac:dyDescent="0.25">
      <c r="A4" s="5" t="s">
        <v>408</v>
      </c>
      <c r="B4" s="5" t="s">
        <v>402</v>
      </c>
      <c r="C4" s="5">
        <v>3</v>
      </c>
      <c r="D4" s="5" t="s">
        <v>409</v>
      </c>
      <c r="E4" s="5">
        <v>1</v>
      </c>
      <c r="F4" s="5" t="s">
        <v>167</v>
      </c>
      <c r="G4" s="5" t="s">
        <v>163</v>
      </c>
      <c r="H4" s="5">
        <v>3</v>
      </c>
      <c r="I4" s="5" t="s">
        <v>163</v>
      </c>
      <c r="J4" s="5">
        <v>7</v>
      </c>
      <c r="K4" s="5"/>
    </row>
    <row r="5" spans="1:11" x14ac:dyDescent="0.25">
      <c r="A5" s="5" t="s">
        <v>410</v>
      </c>
      <c r="B5" s="5" t="s">
        <v>402</v>
      </c>
      <c r="C5" s="5">
        <v>3</v>
      </c>
      <c r="D5" s="5" t="s">
        <v>411</v>
      </c>
      <c r="E5" s="5">
        <v>2</v>
      </c>
      <c r="F5" s="5" t="s">
        <v>160</v>
      </c>
      <c r="G5" s="5" t="s">
        <v>163</v>
      </c>
      <c r="H5" s="5">
        <v>5</v>
      </c>
      <c r="I5" s="5" t="s">
        <v>404</v>
      </c>
      <c r="J5" s="5">
        <v>9</v>
      </c>
      <c r="K5" s="5"/>
    </row>
    <row r="6" spans="1:11" x14ac:dyDescent="0.25">
      <c r="A6" s="5" t="s">
        <v>412</v>
      </c>
      <c r="B6" s="5" t="s">
        <v>413</v>
      </c>
      <c r="C6" s="5">
        <v>4</v>
      </c>
      <c r="D6" s="5" t="s">
        <v>411</v>
      </c>
      <c r="E6" s="5">
        <v>2</v>
      </c>
      <c r="F6" s="5" t="s">
        <v>196</v>
      </c>
      <c r="G6" s="5" t="s">
        <v>162</v>
      </c>
      <c r="H6" s="5">
        <v>5</v>
      </c>
      <c r="I6" s="5" t="s">
        <v>404</v>
      </c>
      <c r="J6" s="5">
        <v>3</v>
      </c>
      <c r="K6" s="5"/>
    </row>
    <row r="7" spans="1:11" x14ac:dyDescent="0.25">
      <c r="A7" s="5" t="s">
        <v>414</v>
      </c>
      <c r="B7" s="5" t="s">
        <v>415</v>
      </c>
      <c r="C7" s="5">
        <v>2</v>
      </c>
      <c r="D7" s="5" t="s">
        <v>407</v>
      </c>
      <c r="E7" s="5">
        <v>4</v>
      </c>
      <c r="F7" s="5" t="s">
        <v>329</v>
      </c>
      <c r="G7" s="5" t="s">
        <v>163</v>
      </c>
      <c r="H7" s="5">
        <v>5</v>
      </c>
      <c r="I7" s="5" t="s">
        <v>162</v>
      </c>
      <c r="J7" s="5">
        <v>7</v>
      </c>
      <c r="K7" s="5" t="s">
        <v>416</v>
      </c>
    </row>
    <row r="8" spans="1:11" x14ac:dyDescent="0.25">
      <c r="A8" s="5" t="s">
        <v>417</v>
      </c>
      <c r="B8" s="5" t="s">
        <v>413</v>
      </c>
      <c r="C8" s="5">
        <v>2</v>
      </c>
      <c r="D8" s="5" t="s">
        <v>407</v>
      </c>
      <c r="E8" s="5">
        <v>2</v>
      </c>
      <c r="F8" s="5" t="s">
        <v>160</v>
      </c>
      <c r="G8" s="5" t="s">
        <v>163</v>
      </c>
      <c r="H8" s="5">
        <v>4</v>
      </c>
      <c r="I8" s="5" t="s">
        <v>162</v>
      </c>
      <c r="J8" s="5">
        <v>14</v>
      </c>
      <c r="K8" s="5"/>
    </row>
    <row r="9" spans="1:11" x14ac:dyDescent="0.25">
      <c r="A9" s="5" t="s">
        <v>418</v>
      </c>
      <c r="B9" s="5" t="s">
        <v>402</v>
      </c>
      <c r="C9" s="5">
        <v>4</v>
      </c>
      <c r="D9" s="5" t="s">
        <v>403</v>
      </c>
      <c r="E9" s="5">
        <v>1</v>
      </c>
      <c r="F9" s="5" t="s">
        <v>329</v>
      </c>
      <c r="G9" s="5" t="s">
        <v>163</v>
      </c>
      <c r="H9" s="5">
        <v>3</v>
      </c>
      <c r="I9" s="5" t="s">
        <v>162</v>
      </c>
      <c r="J9" s="5">
        <v>2</v>
      </c>
      <c r="K9" s="5"/>
    </row>
    <row r="10" spans="1:11" x14ac:dyDescent="0.25">
      <c r="A10" s="5" t="s">
        <v>419</v>
      </c>
      <c r="B10" s="5" t="s">
        <v>402</v>
      </c>
      <c r="C10" s="5">
        <v>5</v>
      </c>
      <c r="D10" s="5" t="s">
        <v>407</v>
      </c>
      <c r="E10" s="5">
        <v>1</v>
      </c>
      <c r="F10" s="5" t="s">
        <v>167</v>
      </c>
      <c r="G10" s="5" t="s">
        <v>163</v>
      </c>
      <c r="H10" s="5">
        <v>5</v>
      </c>
      <c r="I10" s="5" t="s">
        <v>162</v>
      </c>
      <c r="J10" s="5">
        <v>9</v>
      </c>
      <c r="K10" s="5"/>
    </row>
    <row r="11" spans="1:11" x14ac:dyDescent="0.25">
      <c r="A11" s="5" t="s">
        <v>420</v>
      </c>
      <c r="B11" s="5" t="s">
        <v>402</v>
      </c>
      <c r="C11" s="5">
        <v>2</v>
      </c>
      <c r="D11" s="5" t="s">
        <v>403</v>
      </c>
      <c r="E11" s="5">
        <v>5</v>
      </c>
      <c r="F11" s="5" t="s">
        <v>329</v>
      </c>
      <c r="G11" s="5" t="s">
        <v>163</v>
      </c>
      <c r="H11" s="5">
        <v>3</v>
      </c>
      <c r="I11" s="5" t="s">
        <v>404</v>
      </c>
      <c r="J11" s="5">
        <v>18</v>
      </c>
      <c r="K11" s="5" t="s">
        <v>416</v>
      </c>
    </row>
    <row r="12" spans="1:11" x14ac:dyDescent="0.25">
      <c r="A12" s="5" t="s">
        <v>421</v>
      </c>
      <c r="B12" s="5" t="s">
        <v>402</v>
      </c>
      <c r="C12" s="5">
        <v>5</v>
      </c>
      <c r="D12" s="5" t="s">
        <v>407</v>
      </c>
      <c r="E12" s="5">
        <v>3</v>
      </c>
      <c r="F12" s="5" t="s">
        <v>329</v>
      </c>
      <c r="G12" s="5" t="s">
        <v>163</v>
      </c>
      <c r="H12" s="5">
        <v>3</v>
      </c>
      <c r="I12" s="5" t="s">
        <v>404</v>
      </c>
      <c r="J12" s="5">
        <v>9</v>
      </c>
      <c r="K12" s="5"/>
    </row>
    <row r="13" spans="1:11" x14ac:dyDescent="0.25">
      <c r="A13" s="5" t="s">
        <v>422</v>
      </c>
      <c r="B13" s="5" t="s">
        <v>415</v>
      </c>
      <c r="C13" s="5">
        <v>2</v>
      </c>
      <c r="D13" s="5" t="s">
        <v>423</v>
      </c>
      <c r="E13" s="5">
        <v>4</v>
      </c>
      <c r="F13" s="5" t="s">
        <v>160</v>
      </c>
      <c r="G13" s="5" t="s">
        <v>163</v>
      </c>
      <c r="H13" s="5">
        <v>4</v>
      </c>
      <c r="I13" s="5" t="s">
        <v>163</v>
      </c>
      <c r="J13" s="5">
        <v>15</v>
      </c>
      <c r="K13" s="5"/>
    </row>
    <row r="14" spans="1:11" x14ac:dyDescent="0.25">
      <c r="A14" s="5" t="s">
        <v>424</v>
      </c>
      <c r="B14" s="5" t="s">
        <v>415</v>
      </c>
      <c r="C14" s="5">
        <v>1</v>
      </c>
      <c r="D14" s="5" t="s">
        <v>423</v>
      </c>
      <c r="E14" s="5">
        <v>2</v>
      </c>
      <c r="F14" s="5" t="s">
        <v>170</v>
      </c>
      <c r="G14" s="5" t="s">
        <v>163</v>
      </c>
      <c r="H14" s="5">
        <v>2</v>
      </c>
      <c r="I14" s="5" t="s">
        <v>162</v>
      </c>
      <c r="J14" s="5">
        <v>8</v>
      </c>
      <c r="K14" s="5" t="s">
        <v>425</v>
      </c>
    </row>
    <row r="15" spans="1:11" x14ac:dyDescent="0.25">
      <c r="A15" s="5" t="s">
        <v>426</v>
      </c>
      <c r="B15" s="5" t="s">
        <v>415</v>
      </c>
      <c r="C15" s="5">
        <v>4</v>
      </c>
      <c r="D15" s="5" t="s">
        <v>409</v>
      </c>
      <c r="E15" s="5">
        <v>2</v>
      </c>
      <c r="F15" s="5" t="s">
        <v>160</v>
      </c>
      <c r="G15" s="5" t="s">
        <v>162</v>
      </c>
      <c r="H15" s="5">
        <v>4</v>
      </c>
      <c r="I15" s="5" t="s">
        <v>163</v>
      </c>
      <c r="J15" s="5">
        <v>3</v>
      </c>
      <c r="K15" s="5"/>
    </row>
    <row r="16" spans="1:11" x14ac:dyDescent="0.25">
      <c r="A16" s="5" t="s">
        <v>427</v>
      </c>
      <c r="B16" s="5" t="s">
        <v>428</v>
      </c>
      <c r="C16" s="5">
        <v>5</v>
      </c>
      <c r="D16" s="5" t="s">
        <v>411</v>
      </c>
      <c r="E16" s="5">
        <v>2</v>
      </c>
      <c r="F16" s="5" t="s">
        <v>167</v>
      </c>
      <c r="G16" s="5" t="s">
        <v>163</v>
      </c>
      <c r="H16" s="5">
        <v>4</v>
      </c>
      <c r="I16" s="5" t="s">
        <v>404</v>
      </c>
      <c r="J16" s="5">
        <v>10</v>
      </c>
      <c r="K16" s="5"/>
    </row>
    <row r="17" spans="1:11" x14ac:dyDescent="0.25">
      <c r="A17" s="5" t="s">
        <v>429</v>
      </c>
      <c r="B17" s="5" t="s">
        <v>402</v>
      </c>
      <c r="C17" s="5">
        <v>1</v>
      </c>
      <c r="D17" s="5" t="s">
        <v>409</v>
      </c>
      <c r="E17" s="5">
        <v>2</v>
      </c>
      <c r="F17" s="5" t="s">
        <v>160</v>
      </c>
      <c r="G17" s="5" t="s">
        <v>163</v>
      </c>
      <c r="H17" s="5">
        <v>4</v>
      </c>
      <c r="I17" s="5" t="s">
        <v>162</v>
      </c>
      <c r="J17" s="5">
        <v>13</v>
      </c>
      <c r="K17" s="5"/>
    </row>
    <row r="18" spans="1:11" x14ac:dyDescent="0.25">
      <c r="A18" s="5" t="s">
        <v>430</v>
      </c>
      <c r="B18" s="5" t="s">
        <v>402</v>
      </c>
      <c r="C18" s="5">
        <v>2</v>
      </c>
      <c r="D18" s="5" t="s">
        <v>403</v>
      </c>
      <c r="E18" s="5">
        <v>3</v>
      </c>
      <c r="F18" s="5" t="s">
        <v>160</v>
      </c>
      <c r="G18" s="5" t="s">
        <v>163</v>
      </c>
      <c r="H18" s="5">
        <v>3</v>
      </c>
      <c r="I18" s="5" t="s">
        <v>162</v>
      </c>
      <c r="J18" s="5">
        <v>13</v>
      </c>
      <c r="K18" s="5" t="s">
        <v>431</v>
      </c>
    </row>
    <row r="19" spans="1:11" x14ac:dyDescent="0.25">
      <c r="A19" s="5" t="s">
        <v>432</v>
      </c>
      <c r="B19" s="5" t="s">
        <v>413</v>
      </c>
      <c r="C19" s="5">
        <v>4</v>
      </c>
      <c r="D19" s="5" t="s">
        <v>407</v>
      </c>
      <c r="E19" s="5">
        <v>1</v>
      </c>
      <c r="F19" s="5" t="s">
        <v>160</v>
      </c>
      <c r="G19" s="5" t="s">
        <v>163</v>
      </c>
      <c r="H19" s="5">
        <v>1</v>
      </c>
      <c r="I19" s="5" t="s">
        <v>162</v>
      </c>
      <c r="J19" s="5">
        <v>15</v>
      </c>
      <c r="K19" s="5"/>
    </row>
    <row r="20" spans="1:11" x14ac:dyDescent="0.25">
      <c r="A20" s="5" t="s">
        <v>433</v>
      </c>
      <c r="B20" s="5" t="s">
        <v>402</v>
      </c>
      <c r="C20" s="5">
        <v>5</v>
      </c>
      <c r="D20" s="5" t="s">
        <v>423</v>
      </c>
      <c r="E20" s="5">
        <v>1</v>
      </c>
      <c r="F20" s="5" t="s">
        <v>167</v>
      </c>
      <c r="G20" s="5" t="s">
        <v>163</v>
      </c>
      <c r="H20" s="5">
        <v>4</v>
      </c>
      <c r="I20" s="5" t="s">
        <v>404</v>
      </c>
      <c r="J20" s="5">
        <v>13</v>
      </c>
      <c r="K20" s="5"/>
    </row>
    <row r="21" spans="1:11" x14ac:dyDescent="0.25">
      <c r="A21" s="5" t="s">
        <v>434</v>
      </c>
      <c r="B21" s="5" t="s">
        <v>413</v>
      </c>
      <c r="C21" s="5">
        <v>3</v>
      </c>
      <c r="D21" s="5" t="s">
        <v>403</v>
      </c>
      <c r="E21" s="5">
        <v>3</v>
      </c>
      <c r="F21" s="5" t="s">
        <v>170</v>
      </c>
      <c r="G21" s="5" t="s">
        <v>162</v>
      </c>
      <c r="H21" s="5">
        <v>4</v>
      </c>
      <c r="I21" s="5" t="s">
        <v>162</v>
      </c>
      <c r="J21" s="5">
        <v>9</v>
      </c>
      <c r="K21" s="5"/>
    </row>
    <row r="22" spans="1:11" x14ac:dyDescent="0.25">
      <c r="A22" s="5" t="s">
        <v>435</v>
      </c>
      <c r="B22" s="5" t="s">
        <v>415</v>
      </c>
      <c r="C22" s="5">
        <v>4</v>
      </c>
      <c r="D22" s="5" t="s">
        <v>403</v>
      </c>
      <c r="E22" s="5">
        <v>2</v>
      </c>
      <c r="F22" s="5" t="s">
        <v>170</v>
      </c>
      <c r="G22" s="5" t="s">
        <v>162</v>
      </c>
      <c r="H22" s="5">
        <v>5</v>
      </c>
      <c r="I22" s="5" t="s">
        <v>163</v>
      </c>
      <c r="J22" s="5">
        <v>17</v>
      </c>
      <c r="K22" s="5"/>
    </row>
    <row r="23" spans="1:11" x14ac:dyDescent="0.25">
      <c r="A23" s="5" t="s">
        <v>436</v>
      </c>
      <c r="B23" s="5" t="s">
        <v>428</v>
      </c>
      <c r="C23" s="5">
        <v>2</v>
      </c>
      <c r="D23" s="5" t="s">
        <v>407</v>
      </c>
      <c r="E23" s="5">
        <v>1</v>
      </c>
      <c r="F23" s="5" t="s">
        <v>167</v>
      </c>
      <c r="G23" s="5" t="s">
        <v>163</v>
      </c>
      <c r="H23" s="5">
        <v>3</v>
      </c>
      <c r="I23" s="5" t="s">
        <v>162</v>
      </c>
      <c r="J23" s="5">
        <v>13</v>
      </c>
      <c r="K23" s="5"/>
    </row>
    <row r="24" spans="1:11" x14ac:dyDescent="0.25">
      <c r="A24" s="5" t="s">
        <v>437</v>
      </c>
      <c r="B24" s="5" t="s">
        <v>402</v>
      </c>
      <c r="C24" s="5">
        <v>4</v>
      </c>
      <c r="D24" s="5" t="s">
        <v>411</v>
      </c>
      <c r="E24" s="5">
        <v>2</v>
      </c>
      <c r="F24" s="5" t="s">
        <v>167</v>
      </c>
      <c r="G24" s="5" t="s">
        <v>162</v>
      </c>
      <c r="H24" s="5">
        <v>5</v>
      </c>
      <c r="I24" s="5" t="s">
        <v>404</v>
      </c>
      <c r="J24" s="5">
        <v>12</v>
      </c>
      <c r="K24" s="5"/>
    </row>
    <row r="25" spans="1:11" x14ac:dyDescent="0.25">
      <c r="A25" s="5" t="s">
        <v>438</v>
      </c>
      <c r="B25" s="5" t="s">
        <v>428</v>
      </c>
      <c r="C25" s="5">
        <v>3</v>
      </c>
      <c r="D25" s="5" t="s">
        <v>407</v>
      </c>
      <c r="E25" s="5">
        <v>2</v>
      </c>
      <c r="F25" s="5" t="s">
        <v>329</v>
      </c>
      <c r="G25" s="5" t="s">
        <v>163</v>
      </c>
      <c r="H25" s="5">
        <v>4</v>
      </c>
      <c r="I25" s="5" t="s">
        <v>404</v>
      </c>
      <c r="J25" s="5">
        <v>3</v>
      </c>
      <c r="K25" s="5" t="s">
        <v>405</v>
      </c>
    </row>
    <row r="26" spans="1:11" x14ac:dyDescent="0.25">
      <c r="A26" s="5" t="s">
        <v>439</v>
      </c>
      <c r="B26" s="5" t="s">
        <v>413</v>
      </c>
      <c r="C26" s="5">
        <v>4</v>
      </c>
      <c r="D26" s="5" t="s">
        <v>403</v>
      </c>
      <c r="E26" s="5">
        <v>1</v>
      </c>
      <c r="F26" s="5" t="s">
        <v>196</v>
      </c>
      <c r="G26" s="5" t="s">
        <v>163</v>
      </c>
      <c r="H26" s="5">
        <v>3</v>
      </c>
      <c r="I26" s="5" t="s">
        <v>404</v>
      </c>
      <c r="J26" s="5">
        <v>13</v>
      </c>
      <c r="K26" s="5" t="s">
        <v>440</v>
      </c>
    </row>
    <row r="27" spans="1:11" x14ac:dyDescent="0.25">
      <c r="A27" s="5" t="s">
        <v>441</v>
      </c>
      <c r="B27" s="5" t="s">
        <v>402</v>
      </c>
      <c r="C27" s="5">
        <v>5</v>
      </c>
      <c r="D27" s="5" t="s">
        <v>411</v>
      </c>
      <c r="E27" s="5">
        <v>2</v>
      </c>
      <c r="F27" s="5" t="s">
        <v>196</v>
      </c>
      <c r="G27" s="5" t="s">
        <v>163</v>
      </c>
      <c r="H27" s="5">
        <v>2</v>
      </c>
      <c r="I27" s="5" t="s">
        <v>404</v>
      </c>
      <c r="J27" s="5">
        <v>13</v>
      </c>
      <c r="K27" s="5" t="s">
        <v>440</v>
      </c>
    </row>
    <row r="28" spans="1:11" x14ac:dyDescent="0.25">
      <c r="A28" s="5" t="s">
        <v>442</v>
      </c>
      <c r="B28" s="5" t="s">
        <v>402</v>
      </c>
      <c r="C28" s="5">
        <v>3</v>
      </c>
      <c r="D28" s="5" t="s">
        <v>423</v>
      </c>
      <c r="E28" s="5">
        <v>1</v>
      </c>
      <c r="F28" s="5" t="s">
        <v>329</v>
      </c>
      <c r="G28" s="5" t="s">
        <v>163</v>
      </c>
      <c r="H28" s="5">
        <v>4</v>
      </c>
      <c r="I28" s="5" t="s">
        <v>162</v>
      </c>
      <c r="J28" s="5">
        <v>6</v>
      </c>
      <c r="K28" s="5"/>
    </row>
    <row r="29" spans="1:11" x14ac:dyDescent="0.25">
      <c r="A29" s="5" t="s">
        <v>443</v>
      </c>
      <c r="B29" s="5" t="s">
        <v>402</v>
      </c>
      <c r="C29" s="5">
        <v>5</v>
      </c>
      <c r="D29" s="5" t="s">
        <v>423</v>
      </c>
      <c r="E29" s="5">
        <v>3</v>
      </c>
      <c r="F29" s="5" t="s">
        <v>329</v>
      </c>
      <c r="G29" s="5" t="s">
        <v>163</v>
      </c>
      <c r="H29" s="5">
        <v>4</v>
      </c>
      <c r="I29" s="5" t="s">
        <v>162</v>
      </c>
      <c r="J29" s="5">
        <v>15</v>
      </c>
      <c r="K29" s="5" t="s">
        <v>431</v>
      </c>
    </row>
    <row r="30" spans="1:11" x14ac:dyDescent="0.25">
      <c r="A30" s="5" t="s">
        <v>444</v>
      </c>
      <c r="B30" s="5" t="s">
        <v>413</v>
      </c>
      <c r="C30" s="5">
        <v>4</v>
      </c>
      <c r="D30" s="5" t="s">
        <v>407</v>
      </c>
      <c r="E30" s="5">
        <v>1</v>
      </c>
      <c r="F30" s="5" t="s">
        <v>160</v>
      </c>
      <c r="G30" s="5" t="s">
        <v>163</v>
      </c>
      <c r="H30" s="5">
        <v>4</v>
      </c>
      <c r="I30" s="5" t="s">
        <v>163</v>
      </c>
      <c r="J30" s="5">
        <v>15</v>
      </c>
      <c r="K30" s="5"/>
    </row>
    <row r="31" spans="1:11" x14ac:dyDescent="0.25">
      <c r="A31" s="5" t="s">
        <v>445</v>
      </c>
      <c r="B31" s="5" t="s">
        <v>428</v>
      </c>
      <c r="C31" s="5">
        <v>2</v>
      </c>
      <c r="D31" s="5" t="s">
        <v>411</v>
      </c>
      <c r="E31" s="5">
        <v>1</v>
      </c>
      <c r="F31" s="5" t="s">
        <v>329</v>
      </c>
      <c r="G31" s="5" t="s">
        <v>163</v>
      </c>
      <c r="H31" s="5">
        <v>2</v>
      </c>
      <c r="I31" s="5" t="s">
        <v>404</v>
      </c>
      <c r="J31" s="5">
        <v>9</v>
      </c>
      <c r="K31" s="5"/>
    </row>
    <row r="32" spans="1:11" x14ac:dyDescent="0.25">
      <c r="A32" s="5" t="s">
        <v>446</v>
      </c>
      <c r="B32" s="5" t="s">
        <v>415</v>
      </c>
      <c r="C32" s="5">
        <v>3</v>
      </c>
      <c r="D32" s="5" t="s">
        <v>403</v>
      </c>
      <c r="E32" s="5">
        <v>2</v>
      </c>
      <c r="F32" s="5" t="s">
        <v>160</v>
      </c>
      <c r="G32" s="5" t="s">
        <v>163</v>
      </c>
      <c r="H32" s="5">
        <v>4</v>
      </c>
      <c r="I32" s="5" t="s">
        <v>404</v>
      </c>
      <c r="J32" s="5">
        <v>6</v>
      </c>
      <c r="K32" s="5"/>
    </row>
    <row r="33" spans="1:11" x14ac:dyDescent="0.25">
      <c r="A33" s="5" t="s">
        <v>447</v>
      </c>
      <c r="B33" s="5" t="s">
        <v>402</v>
      </c>
      <c r="C33" s="5">
        <v>3</v>
      </c>
      <c r="D33" s="5" t="s">
        <v>403</v>
      </c>
      <c r="E33" s="5">
        <v>4</v>
      </c>
      <c r="F33" s="5" t="s">
        <v>329</v>
      </c>
      <c r="G33" s="5" t="s">
        <v>163</v>
      </c>
      <c r="H33" s="5">
        <v>3</v>
      </c>
      <c r="I33" s="5" t="s">
        <v>404</v>
      </c>
      <c r="J33" s="5">
        <v>3</v>
      </c>
      <c r="K33" s="5"/>
    </row>
    <row r="34" spans="1:11" x14ac:dyDescent="0.25">
      <c r="A34" s="5" t="s">
        <v>448</v>
      </c>
      <c r="B34" s="5" t="s">
        <v>402</v>
      </c>
      <c r="C34" s="5">
        <v>2</v>
      </c>
      <c r="D34" s="5" t="s">
        <v>423</v>
      </c>
      <c r="E34" s="5">
        <v>1</v>
      </c>
      <c r="F34" s="5" t="s">
        <v>160</v>
      </c>
      <c r="G34" s="5" t="s">
        <v>163</v>
      </c>
      <c r="H34" s="5">
        <v>4</v>
      </c>
      <c r="I34" s="5" t="s">
        <v>163</v>
      </c>
      <c r="J34" s="5">
        <v>16</v>
      </c>
      <c r="K34" s="5"/>
    </row>
    <row r="35" spans="1:11" x14ac:dyDescent="0.25">
      <c r="A35" s="5" t="s">
        <v>449</v>
      </c>
      <c r="B35" s="5" t="s">
        <v>428</v>
      </c>
      <c r="C35" s="5">
        <v>2</v>
      </c>
      <c r="D35" s="5" t="s">
        <v>403</v>
      </c>
      <c r="E35" s="5">
        <v>3</v>
      </c>
      <c r="F35" s="5" t="s">
        <v>160</v>
      </c>
      <c r="G35" s="5" t="s">
        <v>162</v>
      </c>
      <c r="H35" s="5">
        <v>4</v>
      </c>
      <c r="I35" s="5" t="s">
        <v>162</v>
      </c>
      <c r="J35" s="5">
        <v>11</v>
      </c>
      <c r="K35" s="5" t="s">
        <v>416</v>
      </c>
    </row>
    <row r="36" spans="1:11" x14ac:dyDescent="0.25">
      <c r="A36" s="5" t="s">
        <v>450</v>
      </c>
      <c r="B36" s="5" t="s">
        <v>428</v>
      </c>
      <c r="C36" s="5">
        <v>2</v>
      </c>
      <c r="D36" s="5" t="s">
        <v>409</v>
      </c>
      <c r="E36" s="5">
        <v>1</v>
      </c>
      <c r="F36" s="5" t="s">
        <v>160</v>
      </c>
      <c r="G36" s="5" t="s">
        <v>179</v>
      </c>
      <c r="H36" s="5">
        <v>3</v>
      </c>
      <c r="I36" s="5" t="s">
        <v>404</v>
      </c>
      <c r="J36" s="5">
        <v>12</v>
      </c>
      <c r="K36" s="5"/>
    </row>
    <row r="37" spans="1:11" x14ac:dyDescent="0.25">
      <c r="A37" s="5" t="s">
        <v>451</v>
      </c>
      <c r="B37" s="5" t="s">
        <v>413</v>
      </c>
      <c r="C37" s="5">
        <v>4</v>
      </c>
      <c r="D37" s="5" t="s">
        <v>407</v>
      </c>
      <c r="E37" s="5">
        <v>2</v>
      </c>
      <c r="F37" s="5" t="s">
        <v>170</v>
      </c>
      <c r="G37" s="5" t="s">
        <v>163</v>
      </c>
      <c r="H37" s="5">
        <v>4</v>
      </c>
      <c r="I37" s="5" t="s">
        <v>163</v>
      </c>
      <c r="J37" s="5">
        <v>12</v>
      </c>
      <c r="K37" s="5"/>
    </row>
    <row r="38" spans="1:11" x14ac:dyDescent="0.25">
      <c r="A38" s="5" t="s">
        <v>452</v>
      </c>
      <c r="B38" s="5" t="s">
        <v>413</v>
      </c>
      <c r="C38" s="5">
        <v>3</v>
      </c>
      <c r="D38" s="5" t="s">
        <v>409</v>
      </c>
      <c r="E38" s="5">
        <v>1</v>
      </c>
      <c r="F38" s="5" t="s">
        <v>167</v>
      </c>
      <c r="G38" s="5" t="s">
        <v>179</v>
      </c>
      <c r="H38" s="5">
        <v>4</v>
      </c>
      <c r="I38" s="5" t="s">
        <v>404</v>
      </c>
      <c r="J38" s="5">
        <v>9</v>
      </c>
      <c r="K38" s="5" t="s">
        <v>425</v>
      </c>
    </row>
    <row r="39" spans="1:11" x14ac:dyDescent="0.25">
      <c r="A39" s="5" t="s">
        <v>453</v>
      </c>
      <c r="B39" s="5" t="s">
        <v>413</v>
      </c>
      <c r="C39" s="5">
        <v>3</v>
      </c>
      <c r="D39" s="5" t="s">
        <v>407</v>
      </c>
      <c r="E39" s="5">
        <v>3</v>
      </c>
      <c r="F39" s="5" t="s">
        <v>167</v>
      </c>
      <c r="G39" s="5" t="s">
        <v>163</v>
      </c>
      <c r="H39" s="5">
        <v>4</v>
      </c>
      <c r="I39" s="5" t="s">
        <v>162</v>
      </c>
      <c r="J39" s="5">
        <v>11</v>
      </c>
      <c r="K39" s="5" t="s">
        <v>425</v>
      </c>
    </row>
    <row r="40" spans="1:11" x14ac:dyDescent="0.25">
      <c r="A40" s="5" t="s">
        <v>454</v>
      </c>
      <c r="B40" s="5" t="s">
        <v>413</v>
      </c>
      <c r="C40" s="5">
        <v>1</v>
      </c>
      <c r="D40" s="5" t="s">
        <v>403</v>
      </c>
      <c r="E40" s="5">
        <v>1</v>
      </c>
      <c r="F40" s="5" t="s">
        <v>167</v>
      </c>
      <c r="G40" s="5" t="s">
        <v>163</v>
      </c>
      <c r="H40" s="5">
        <v>5</v>
      </c>
      <c r="I40" s="5" t="s">
        <v>404</v>
      </c>
      <c r="J40" s="5">
        <v>7</v>
      </c>
      <c r="K40" s="5"/>
    </row>
    <row r="41" spans="1:11" x14ac:dyDescent="0.25">
      <c r="A41" s="5" t="s">
        <v>455</v>
      </c>
      <c r="B41" s="5" t="s">
        <v>402</v>
      </c>
      <c r="C41" s="5">
        <v>3</v>
      </c>
      <c r="D41" s="5" t="s">
        <v>407</v>
      </c>
      <c r="E41" s="5">
        <v>4</v>
      </c>
      <c r="F41" s="5" t="s">
        <v>167</v>
      </c>
      <c r="G41" s="5" t="s">
        <v>163</v>
      </c>
      <c r="H41" s="5">
        <v>3</v>
      </c>
      <c r="I41" s="5" t="s">
        <v>404</v>
      </c>
      <c r="J41" s="5">
        <v>12</v>
      </c>
      <c r="K41" s="5"/>
    </row>
    <row r="42" spans="1:11" x14ac:dyDescent="0.25">
      <c r="A42" s="5" t="s">
        <v>456</v>
      </c>
      <c r="B42" s="5" t="s">
        <v>413</v>
      </c>
      <c r="C42" s="5">
        <v>4</v>
      </c>
      <c r="D42" s="5" t="s">
        <v>423</v>
      </c>
      <c r="E42" s="5">
        <v>5</v>
      </c>
      <c r="F42" s="5" t="s">
        <v>196</v>
      </c>
      <c r="G42" s="5" t="s">
        <v>179</v>
      </c>
      <c r="H42" s="5">
        <v>3</v>
      </c>
      <c r="I42" s="5" t="s">
        <v>162</v>
      </c>
      <c r="J42" s="5">
        <v>12</v>
      </c>
      <c r="K42" s="5"/>
    </row>
    <row r="43" spans="1:11" x14ac:dyDescent="0.25">
      <c r="A43" s="5" t="s">
        <v>457</v>
      </c>
      <c r="B43" s="5" t="s">
        <v>413</v>
      </c>
      <c r="C43" s="5">
        <v>3</v>
      </c>
      <c r="D43" s="5" t="s">
        <v>411</v>
      </c>
      <c r="E43" s="5">
        <v>1</v>
      </c>
      <c r="F43" s="5" t="s">
        <v>160</v>
      </c>
      <c r="G43" s="5" t="s">
        <v>179</v>
      </c>
      <c r="H43" s="5">
        <v>4</v>
      </c>
      <c r="I43" s="5" t="s">
        <v>163</v>
      </c>
      <c r="J43" s="5">
        <v>6</v>
      </c>
      <c r="K43" s="5" t="s">
        <v>431</v>
      </c>
    </row>
    <row r="44" spans="1:11" x14ac:dyDescent="0.25">
      <c r="A44" s="5" t="s">
        <v>458</v>
      </c>
      <c r="B44" s="5" t="s">
        <v>402</v>
      </c>
      <c r="C44" s="5">
        <v>5</v>
      </c>
      <c r="D44" s="5" t="s">
        <v>409</v>
      </c>
      <c r="E44" s="5">
        <v>1</v>
      </c>
      <c r="F44" s="5" t="s">
        <v>167</v>
      </c>
      <c r="G44" s="5" t="s">
        <v>163</v>
      </c>
      <c r="H44" s="5">
        <v>5</v>
      </c>
      <c r="I44" s="5" t="s">
        <v>404</v>
      </c>
      <c r="J44" s="5">
        <v>21</v>
      </c>
      <c r="K44" s="5" t="s">
        <v>431</v>
      </c>
    </row>
    <row r="45" spans="1:11" x14ac:dyDescent="0.25">
      <c r="A45" s="5" t="s">
        <v>459</v>
      </c>
      <c r="B45" s="5" t="s">
        <v>413</v>
      </c>
      <c r="C45" s="5">
        <v>4</v>
      </c>
      <c r="D45" s="5" t="s">
        <v>409</v>
      </c>
      <c r="E45" s="5">
        <v>1</v>
      </c>
      <c r="F45" s="5" t="s">
        <v>196</v>
      </c>
      <c r="G45" s="5" t="s">
        <v>163</v>
      </c>
      <c r="H45" s="5">
        <v>3</v>
      </c>
      <c r="I45" s="5" t="s">
        <v>404</v>
      </c>
      <c r="J45" s="5">
        <v>7</v>
      </c>
      <c r="K45" s="5" t="s">
        <v>425</v>
      </c>
    </row>
    <row r="46" spans="1:11" x14ac:dyDescent="0.25">
      <c r="A46" s="5" t="s">
        <v>460</v>
      </c>
      <c r="B46" s="5" t="s">
        <v>415</v>
      </c>
      <c r="C46" s="5">
        <v>4</v>
      </c>
      <c r="D46" s="5" t="s">
        <v>411</v>
      </c>
      <c r="E46" s="5">
        <v>1</v>
      </c>
      <c r="F46" s="5" t="s">
        <v>170</v>
      </c>
      <c r="G46" s="5" t="s">
        <v>179</v>
      </c>
      <c r="H46" s="5">
        <v>2</v>
      </c>
      <c r="I46" s="5" t="s">
        <v>404</v>
      </c>
      <c r="J46" s="5">
        <v>3</v>
      </c>
      <c r="K46" s="5"/>
    </row>
    <row r="47" spans="1:11" x14ac:dyDescent="0.25">
      <c r="A47" s="5" t="s">
        <v>461</v>
      </c>
      <c r="B47" s="5" t="s">
        <v>413</v>
      </c>
      <c r="C47" s="5">
        <v>4</v>
      </c>
      <c r="D47" s="5" t="s">
        <v>407</v>
      </c>
      <c r="E47" s="5">
        <v>1</v>
      </c>
      <c r="F47" s="5" t="s">
        <v>329</v>
      </c>
      <c r="G47" s="5" t="s">
        <v>179</v>
      </c>
      <c r="H47" s="5">
        <v>4</v>
      </c>
      <c r="I47" s="5" t="s">
        <v>404</v>
      </c>
      <c r="J47" s="5">
        <v>10</v>
      </c>
      <c r="K47" s="5"/>
    </row>
    <row r="48" spans="1:11" x14ac:dyDescent="0.25">
      <c r="A48" s="5" t="s">
        <v>462</v>
      </c>
      <c r="B48" s="5" t="s">
        <v>402</v>
      </c>
      <c r="C48" s="5">
        <v>5</v>
      </c>
      <c r="D48" s="5" t="s">
        <v>403</v>
      </c>
      <c r="E48" s="5">
        <v>2</v>
      </c>
      <c r="F48" s="5" t="s">
        <v>170</v>
      </c>
      <c r="G48" s="5" t="s">
        <v>179</v>
      </c>
      <c r="H48" s="5">
        <v>2</v>
      </c>
      <c r="I48" s="5" t="s">
        <v>404</v>
      </c>
      <c r="J48" s="5">
        <v>8</v>
      </c>
      <c r="K48" s="5"/>
    </row>
    <row r="49" spans="1:11" x14ac:dyDescent="0.25">
      <c r="A49" s="5" t="s">
        <v>463</v>
      </c>
      <c r="B49" s="5" t="s">
        <v>413</v>
      </c>
      <c r="C49" s="5">
        <v>3</v>
      </c>
      <c r="D49" s="5" t="s">
        <v>423</v>
      </c>
      <c r="E49" s="5">
        <v>2</v>
      </c>
      <c r="F49" s="5" t="s">
        <v>167</v>
      </c>
      <c r="G49" s="5" t="s">
        <v>163</v>
      </c>
      <c r="H49" s="5">
        <v>5</v>
      </c>
      <c r="I49" s="5" t="s">
        <v>162</v>
      </c>
      <c r="J49" s="5">
        <v>8</v>
      </c>
      <c r="K49" s="5"/>
    </row>
    <row r="50" spans="1:11" x14ac:dyDescent="0.25">
      <c r="A50" s="5" t="s">
        <v>464</v>
      </c>
      <c r="B50" s="5" t="s">
        <v>428</v>
      </c>
      <c r="C50" s="5">
        <v>3</v>
      </c>
      <c r="D50" s="5" t="s">
        <v>403</v>
      </c>
      <c r="E50" s="5">
        <v>5</v>
      </c>
      <c r="F50" s="5" t="s">
        <v>160</v>
      </c>
      <c r="G50" s="5" t="s">
        <v>163</v>
      </c>
      <c r="H50" s="5">
        <v>3</v>
      </c>
      <c r="I50" s="5" t="s">
        <v>404</v>
      </c>
      <c r="J50" s="5">
        <v>7</v>
      </c>
      <c r="K50" s="5"/>
    </row>
    <row r="51" spans="1:11" x14ac:dyDescent="0.25">
      <c r="A51" s="5" t="s">
        <v>465</v>
      </c>
      <c r="B51" s="5" t="s">
        <v>402</v>
      </c>
      <c r="C51" s="5">
        <v>1</v>
      </c>
      <c r="D51" s="5" t="s">
        <v>403</v>
      </c>
      <c r="E51" s="5">
        <v>1</v>
      </c>
      <c r="F51" s="5" t="s">
        <v>170</v>
      </c>
      <c r="G51" s="5" t="s">
        <v>163</v>
      </c>
      <c r="H51" s="5">
        <v>5</v>
      </c>
      <c r="I51" s="5" t="s">
        <v>404</v>
      </c>
      <c r="J51" s="5">
        <v>19</v>
      </c>
      <c r="K51" s="5"/>
    </row>
    <row r="52" spans="1:11" x14ac:dyDescent="0.25">
      <c r="A52" s="5" t="s">
        <v>466</v>
      </c>
      <c r="B52" s="5" t="s">
        <v>402</v>
      </c>
      <c r="C52" s="5">
        <v>5</v>
      </c>
      <c r="D52" s="5" t="s">
        <v>411</v>
      </c>
      <c r="E52" s="5">
        <v>4</v>
      </c>
      <c r="F52" s="5" t="s">
        <v>170</v>
      </c>
      <c r="G52" s="5" t="s">
        <v>179</v>
      </c>
      <c r="H52" s="5">
        <v>4</v>
      </c>
      <c r="I52" s="5" t="s">
        <v>404</v>
      </c>
      <c r="J52" s="5">
        <v>14</v>
      </c>
      <c r="K52" s="5" t="s">
        <v>440</v>
      </c>
    </row>
    <row r="53" spans="1:11" x14ac:dyDescent="0.25">
      <c r="A53" s="5" t="s">
        <v>467</v>
      </c>
      <c r="B53" s="5" t="s">
        <v>415</v>
      </c>
      <c r="C53" s="5">
        <v>5</v>
      </c>
      <c r="D53" s="5" t="s">
        <v>403</v>
      </c>
      <c r="E53" s="5">
        <v>2</v>
      </c>
      <c r="F53" s="5" t="s">
        <v>160</v>
      </c>
      <c r="G53" s="5" t="s">
        <v>163</v>
      </c>
      <c r="H53" s="5">
        <v>4</v>
      </c>
      <c r="I53" s="5" t="s">
        <v>404</v>
      </c>
      <c r="J53" s="5">
        <v>9</v>
      </c>
      <c r="K53" s="5"/>
    </row>
    <row r="54" spans="1:11" x14ac:dyDescent="0.25">
      <c r="A54" s="5" t="s">
        <v>468</v>
      </c>
      <c r="B54" s="5" t="s">
        <v>402</v>
      </c>
      <c r="C54" s="5">
        <v>4</v>
      </c>
      <c r="D54" s="5" t="s">
        <v>423</v>
      </c>
      <c r="E54" s="5">
        <v>2</v>
      </c>
      <c r="F54" s="5" t="s">
        <v>329</v>
      </c>
      <c r="G54" s="5" t="s">
        <v>163</v>
      </c>
      <c r="H54" s="5">
        <v>4</v>
      </c>
      <c r="I54" s="5" t="s">
        <v>404</v>
      </c>
      <c r="J54" s="5">
        <v>16</v>
      </c>
      <c r="K54" s="5" t="s">
        <v>405</v>
      </c>
    </row>
    <row r="55" spans="1:11" x14ac:dyDescent="0.25">
      <c r="A55" s="5" t="s">
        <v>469</v>
      </c>
      <c r="B55" s="5" t="s">
        <v>428</v>
      </c>
      <c r="C55" s="5">
        <v>5</v>
      </c>
      <c r="D55" s="5" t="s">
        <v>403</v>
      </c>
      <c r="E55" s="5">
        <v>2</v>
      </c>
      <c r="F55" s="5" t="s">
        <v>167</v>
      </c>
      <c r="G55" s="5" t="s">
        <v>163</v>
      </c>
      <c r="H55" s="5">
        <v>4</v>
      </c>
      <c r="I55" s="5" t="s">
        <v>404</v>
      </c>
      <c r="J55" s="5">
        <v>14</v>
      </c>
      <c r="K55" s="5"/>
    </row>
    <row r="56" spans="1:11" x14ac:dyDescent="0.25">
      <c r="A56" s="5" t="s">
        <v>470</v>
      </c>
      <c r="B56" s="5" t="s">
        <v>415</v>
      </c>
      <c r="C56" s="5">
        <v>4</v>
      </c>
      <c r="D56" s="5" t="s">
        <v>403</v>
      </c>
      <c r="E56" s="5">
        <v>1</v>
      </c>
      <c r="F56" s="5" t="s">
        <v>167</v>
      </c>
      <c r="G56" s="5" t="s">
        <v>163</v>
      </c>
      <c r="H56" s="5">
        <v>5</v>
      </c>
      <c r="I56" s="5" t="s">
        <v>404</v>
      </c>
      <c r="J56" s="5">
        <v>5</v>
      </c>
      <c r="K56" s="5"/>
    </row>
    <row r="57" spans="1:11" x14ac:dyDescent="0.25">
      <c r="A57" s="5" t="s">
        <v>471</v>
      </c>
      <c r="B57" s="5" t="s">
        <v>428</v>
      </c>
      <c r="C57" s="5">
        <v>3</v>
      </c>
      <c r="D57" s="5" t="s">
        <v>409</v>
      </c>
      <c r="E57" s="5">
        <v>1</v>
      </c>
      <c r="F57" s="5" t="s">
        <v>329</v>
      </c>
      <c r="G57" s="5" t="s">
        <v>163</v>
      </c>
      <c r="H57" s="5">
        <v>2</v>
      </c>
      <c r="I57" s="5" t="s">
        <v>404</v>
      </c>
      <c r="J57" s="5">
        <v>11</v>
      </c>
      <c r="K57" s="5" t="s">
        <v>416</v>
      </c>
    </row>
    <row r="58" spans="1:11" x14ac:dyDescent="0.25">
      <c r="A58" s="5" t="s">
        <v>472</v>
      </c>
      <c r="B58" s="5" t="s">
        <v>415</v>
      </c>
      <c r="C58" s="5">
        <v>2</v>
      </c>
      <c r="D58" s="5" t="s">
        <v>411</v>
      </c>
      <c r="E58" s="5">
        <v>3</v>
      </c>
      <c r="F58" s="5" t="s">
        <v>196</v>
      </c>
      <c r="G58" s="5" t="s">
        <v>163</v>
      </c>
      <c r="H58" s="5">
        <v>3</v>
      </c>
      <c r="I58" s="5" t="s">
        <v>404</v>
      </c>
      <c r="J58" s="5">
        <v>7</v>
      </c>
      <c r="K58" s="5" t="s">
        <v>425</v>
      </c>
    </row>
    <row r="59" spans="1:11" x14ac:dyDescent="0.25">
      <c r="A59" s="5" t="s">
        <v>473</v>
      </c>
      <c r="B59" s="5" t="s">
        <v>428</v>
      </c>
      <c r="C59" s="5">
        <v>5</v>
      </c>
      <c r="D59" s="5" t="s">
        <v>423</v>
      </c>
      <c r="E59" s="5">
        <v>5</v>
      </c>
      <c r="F59" s="5" t="s">
        <v>329</v>
      </c>
      <c r="G59" s="5" t="s">
        <v>179</v>
      </c>
      <c r="H59" s="5">
        <v>5</v>
      </c>
      <c r="I59" s="5" t="s">
        <v>404</v>
      </c>
      <c r="J59" s="5">
        <v>7</v>
      </c>
      <c r="K59" s="5"/>
    </row>
    <row r="60" spans="1:11" x14ac:dyDescent="0.25">
      <c r="A60" s="5" t="s">
        <v>474</v>
      </c>
      <c r="B60" s="5" t="s">
        <v>402</v>
      </c>
      <c r="C60" s="5">
        <v>5</v>
      </c>
      <c r="D60" s="5" t="s">
        <v>407</v>
      </c>
      <c r="E60" s="5">
        <v>3</v>
      </c>
      <c r="F60" s="5" t="s">
        <v>196</v>
      </c>
      <c r="G60" s="5" t="s">
        <v>163</v>
      </c>
      <c r="H60" s="5">
        <v>4</v>
      </c>
      <c r="I60" s="5" t="s">
        <v>404</v>
      </c>
      <c r="J60" s="5">
        <v>17</v>
      </c>
      <c r="K60" s="5" t="s">
        <v>440</v>
      </c>
    </row>
    <row r="61" spans="1:11" x14ac:dyDescent="0.25">
      <c r="A61" s="5" t="s">
        <v>475</v>
      </c>
      <c r="B61" s="5" t="s">
        <v>428</v>
      </c>
      <c r="C61" s="5">
        <v>2</v>
      </c>
      <c r="D61" s="5" t="s">
        <v>423</v>
      </c>
      <c r="E61" s="5">
        <v>2</v>
      </c>
      <c r="F61" s="5" t="s">
        <v>170</v>
      </c>
      <c r="G61" s="5" t="s">
        <v>179</v>
      </c>
      <c r="H61" s="5">
        <v>5</v>
      </c>
      <c r="I61" s="5" t="s">
        <v>404</v>
      </c>
      <c r="J61" s="5">
        <v>17</v>
      </c>
      <c r="K61" s="5"/>
    </row>
    <row r="62" spans="1:11" x14ac:dyDescent="0.25">
      <c r="A62" s="5" t="s">
        <v>476</v>
      </c>
      <c r="B62" s="5" t="s">
        <v>428</v>
      </c>
      <c r="C62" s="5">
        <v>3</v>
      </c>
      <c r="D62" s="5" t="s">
        <v>423</v>
      </c>
      <c r="E62" s="5">
        <v>2</v>
      </c>
      <c r="F62" s="5" t="s">
        <v>167</v>
      </c>
      <c r="G62" s="5" t="s">
        <v>163</v>
      </c>
      <c r="H62" s="5">
        <v>4</v>
      </c>
      <c r="I62" s="5" t="s">
        <v>404</v>
      </c>
      <c r="J62" s="5">
        <v>7</v>
      </c>
      <c r="K62" s="5"/>
    </row>
    <row r="63" spans="1:11" x14ac:dyDescent="0.25">
      <c r="A63" s="5" t="s">
        <v>477</v>
      </c>
      <c r="B63" s="5" t="s">
        <v>413</v>
      </c>
      <c r="C63" s="5">
        <v>3</v>
      </c>
      <c r="D63" s="5" t="s">
        <v>407</v>
      </c>
      <c r="E63" s="5">
        <v>2</v>
      </c>
      <c r="F63" s="5" t="s">
        <v>170</v>
      </c>
      <c r="G63" s="5" t="s">
        <v>162</v>
      </c>
      <c r="H63" s="5">
        <v>3</v>
      </c>
      <c r="I63" s="5" t="s">
        <v>404</v>
      </c>
      <c r="J63" s="5">
        <v>12</v>
      </c>
      <c r="K63" s="5"/>
    </row>
    <row r="64" spans="1:11" x14ac:dyDescent="0.25">
      <c r="A64" s="5" t="s">
        <v>478</v>
      </c>
      <c r="B64" s="5" t="s">
        <v>415</v>
      </c>
      <c r="C64" s="5">
        <v>3</v>
      </c>
      <c r="D64" s="5" t="s">
        <v>409</v>
      </c>
      <c r="E64" s="5">
        <v>4</v>
      </c>
      <c r="F64" s="5" t="s">
        <v>160</v>
      </c>
      <c r="G64" s="5" t="s">
        <v>179</v>
      </c>
      <c r="H64" s="5">
        <v>3</v>
      </c>
      <c r="I64" s="5" t="s">
        <v>404</v>
      </c>
      <c r="J64" s="5">
        <v>9</v>
      </c>
      <c r="K64" s="5"/>
    </row>
    <row r="65" spans="1:11" x14ac:dyDescent="0.25">
      <c r="A65" s="5" t="s">
        <v>479</v>
      </c>
      <c r="B65" s="5" t="s">
        <v>402</v>
      </c>
      <c r="C65" s="5">
        <v>5</v>
      </c>
      <c r="D65" s="5" t="s">
        <v>409</v>
      </c>
      <c r="E65" s="5">
        <v>3</v>
      </c>
      <c r="F65" s="5" t="s">
        <v>160</v>
      </c>
      <c r="G65" s="5" t="s">
        <v>179</v>
      </c>
      <c r="H65" s="5">
        <v>5</v>
      </c>
      <c r="I65" s="5" t="s">
        <v>404</v>
      </c>
      <c r="J65" s="5">
        <v>11</v>
      </c>
      <c r="K65" s="5"/>
    </row>
    <row r="66" spans="1:11" x14ac:dyDescent="0.25">
      <c r="A66" s="5" t="s">
        <v>480</v>
      </c>
      <c r="B66" s="5" t="s">
        <v>428</v>
      </c>
      <c r="C66" s="5">
        <v>4</v>
      </c>
      <c r="D66" s="5" t="s">
        <v>423</v>
      </c>
      <c r="E66" s="5">
        <v>1</v>
      </c>
      <c r="F66" s="5" t="s">
        <v>167</v>
      </c>
      <c r="G66" s="5" t="s">
        <v>163</v>
      </c>
      <c r="H66" s="5">
        <v>3</v>
      </c>
      <c r="I66" s="5" t="s">
        <v>163</v>
      </c>
      <c r="J66" s="5">
        <v>7</v>
      </c>
      <c r="K66" s="5"/>
    </row>
    <row r="67" spans="1:11" x14ac:dyDescent="0.25">
      <c r="A67" s="5" t="s">
        <v>481</v>
      </c>
      <c r="B67" s="5" t="s">
        <v>402</v>
      </c>
      <c r="C67" s="5">
        <v>4</v>
      </c>
      <c r="D67" s="5" t="s">
        <v>403</v>
      </c>
      <c r="E67" s="5">
        <v>2</v>
      </c>
      <c r="F67" s="5" t="s">
        <v>160</v>
      </c>
      <c r="G67" s="5" t="s">
        <v>163</v>
      </c>
      <c r="H67" s="5">
        <v>4</v>
      </c>
      <c r="I67" s="5" t="s">
        <v>404</v>
      </c>
      <c r="J67" s="5">
        <v>5</v>
      </c>
      <c r="K67" s="5" t="s">
        <v>425</v>
      </c>
    </row>
    <row r="68" spans="1:11" x14ac:dyDescent="0.25">
      <c r="A68" s="5" t="s">
        <v>482</v>
      </c>
      <c r="B68" s="5" t="s">
        <v>413</v>
      </c>
      <c r="C68" s="5">
        <v>2</v>
      </c>
      <c r="D68" s="5" t="s">
        <v>409</v>
      </c>
      <c r="E68" s="5">
        <v>3</v>
      </c>
      <c r="F68" s="5" t="s">
        <v>329</v>
      </c>
      <c r="G68" s="5" t="s">
        <v>179</v>
      </c>
      <c r="H68" s="5">
        <v>5</v>
      </c>
      <c r="I68" s="5" t="s">
        <v>162</v>
      </c>
      <c r="J68" s="5">
        <v>8</v>
      </c>
      <c r="K68" s="5"/>
    </row>
    <row r="69" spans="1:11" x14ac:dyDescent="0.25">
      <c r="A69" s="5" t="s">
        <v>483</v>
      </c>
      <c r="B69" s="5" t="s">
        <v>415</v>
      </c>
      <c r="C69" s="5">
        <v>5</v>
      </c>
      <c r="D69" s="5" t="s">
        <v>407</v>
      </c>
      <c r="E69" s="5">
        <v>2</v>
      </c>
      <c r="F69" s="5" t="s">
        <v>160</v>
      </c>
      <c r="G69" s="5" t="s">
        <v>163</v>
      </c>
      <c r="H69" s="5">
        <v>3</v>
      </c>
      <c r="I69" s="5" t="s">
        <v>162</v>
      </c>
      <c r="J69" s="5">
        <v>10</v>
      </c>
      <c r="K69" s="5"/>
    </row>
    <row r="70" spans="1:11" x14ac:dyDescent="0.25">
      <c r="A70" s="5" t="s">
        <v>484</v>
      </c>
      <c r="B70" s="5" t="s">
        <v>428</v>
      </c>
      <c r="C70" s="5">
        <v>5</v>
      </c>
      <c r="D70" s="5" t="s">
        <v>409</v>
      </c>
      <c r="E70" s="5">
        <v>5</v>
      </c>
      <c r="F70" s="5" t="s">
        <v>160</v>
      </c>
      <c r="G70" s="5" t="s">
        <v>162</v>
      </c>
      <c r="H70" s="5">
        <v>3</v>
      </c>
      <c r="I70" s="5" t="s">
        <v>404</v>
      </c>
      <c r="J70" s="5">
        <v>16</v>
      </c>
      <c r="K70" s="5"/>
    </row>
    <row r="71" spans="1:11" x14ac:dyDescent="0.25">
      <c r="A71" s="5" t="s">
        <v>485</v>
      </c>
      <c r="B71" s="5" t="s">
        <v>402</v>
      </c>
      <c r="C71" s="5">
        <v>1</v>
      </c>
      <c r="D71" s="5" t="s">
        <v>403</v>
      </c>
      <c r="E71" s="5">
        <v>2</v>
      </c>
      <c r="F71" s="5" t="s">
        <v>167</v>
      </c>
      <c r="G71" s="5" t="s">
        <v>179</v>
      </c>
      <c r="H71" s="5">
        <v>3</v>
      </c>
      <c r="I71" s="5" t="s">
        <v>162</v>
      </c>
      <c r="J71" s="5">
        <v>4</v>
      </c>
      <c r="K71" s="5" t="s">
        <v>405</v>
      </c>
    </row>
    <row r="72" spans="1:11" x14ac:dyDescent="0.25">
      <c r="A72" s="5" t="s">
        <v>486</v>
      </c>
      <c r="B72" s="5" t="s">
        <v>413</v>
      </c>
      <c r="C72" s="5">
        <v>3</v>
      </c>
      <c r="D72" s="5" t="s">
        <v>423</v>
      </c>
      <c r="E72" s="5">
        <v>1</v>
      </c>
      <c r="F72" s="5" t="s">
        <v>160</v>
      </c>
      <c r="G72" s="5" t="s">
        <v>163</v>
      </c>
      <c r="H72" s="5">
        <v>5</v>
      </c>
      <c r="I72" s="5" t="s">
        <v>404</v>
      </c>
      <c r="J72" s="5">
        <v>11</v>
      </c>
      <c r="K72" s="5" t="s">
        <v>431</v>
      </c>
    </row>
    <row r="73" spans="1:11" x14ac:dyDescent="0.25">
      <c r="A73" s="5" t="s">
        <v>487</v>
      </c>
      <c r="B73" s="5" t="s">
        <v>413</v>
      </c>
      <c r="C73" s="5">
        <v>3</v>
      </c>
      <c r="D73" s="5" t="s">
        <v>403</v>
      </c>
      <c r="E73" s="5">
        <v>1</v>
      </c>
      <c r="F73" s="5" t="s">
        <v>160</v>
      </c>
      <c r="G73" s="5" t="s">
        <v>163</v>
      </c>
      <c r="H73" s="5">
        <v>3</v>
      </c>
      <c r="I73" s="5" t="s">
        <v>162</v>
      </c>
      <c r="J73" s="5">
        <v>10</v>
      </c>
      <c r="K73" s="5" t="s">
        <v>425</v>
      </c>
    </row>
    <row r="74" spans="1:11" x14ac:dyDescent="0.25">
      <c r="A74" s="5" t="s">
        <v>488</v>
      </c>
      <c r="B74" s="5" t="s">
        <v>402</v>
      </c>
      <c r="C74" s="5">
        <v>2</v>
      </c>
      <c r="D74" s="5" t="s">
        <v>403</v>
      </c>
      <c r="E74" s="5">
        <v>2</v>
      </c>
      <c r="F74" s="5" t="s">
        <v>167</v>
      </c>
      <c r="G74" s="5" t="s">
        <v>163</v>
      </c>
      <c r="H74" s="5">
        <v>3</v>
      </c>
      <c r="I74" s="5" t="s">
        <v>404</v>
      </c>
      <c r="J74" s="5">
        <v>4</v>
      </c>
      <c r="K74" s="5"/>
    </row>
    <row r="75" spans="1:11" x14ac:dyDescent="0.25">
      <c r="A75" s="5" t="s">
        <v>489</v>
      </c>
      <c r="B75" s="5" t="s">
        <v>428</v>
      </c>
      <c r="C75" s="5">
        <v>2</v>
      </c>
      <c r="D75" s="5" t="s">
        <v>403</v>
      </c>
      <c r="E75" s="5">
        <v>2</v>
      </c>
      <c r="F75" s="5" t="s">
        <v>160</v>
      </c>
      <c r="G75" s="5" t="s">
        <v>162</v>
      </c>
      <c r="H75" s="5">
        <v>2</v>
      </c>
      <c r="I75" s="5" t="s">
        <v>162</v>
      </c>
      <c r="J75" s="5">
        <v>18</v>
      </c>
      <c r="K75" s="5"/>
    </row>
    <row r="76" spans="1:11" x14ac:dyDescent="0.25">
      <c r="A76" s="5" t="s">
        <v>490</v>
      </c>
      <c r="B76" s="5" t="s">
        <v>413</v>
      </c>
      <c r="C76" s="5">
        <v>4</v>
      </c>
      <c r="D76" s="5" t="s">
        <v>423</v>
      </c>
      <c r="E76" s="5">
        <v>2</v>
      </c>
      <c r="F76" s="5" t="s">
        <v>160</v>
      </c>
      <c r="G76" s="5" t="s">
        <v>179</v>
      </c>
      <c r="H76" s="5">
        <v>5</v>
      </c>
      <c r="I76" s="5" t="s">
        <v>163</v>
      </c>
      <c r="J76" s="5">
        <v>13</v>
      </c>
      <c r="K76" s="5"/>
    </row>
    <row r="77" spans="1:11" x14ac:dyDescent="0.25">
      <c r="A77" s="5" t="s">
        <v>491</v>
      </c>
      <c r="B77" s="5" t="s">
        <v>413</v>
      </c>
      <c r="C77" s="5">
        <v>2</v>
      </c>
      <c r="D77" s="5" t="s">
        <v>411</v>
      </c>
      <c r="E77" s="5">
        <v>2</v>
      </c>
      <c r="F77" s="5" t="s">
        <v>167</v>
      </c>
      <c r="G77" s="5" t="s">
        <v>179</v>
      </c>
      <c r="H77" s="5">
        <v>4</v>
      </c>
      <c r="I77" s="5" t="s">
        <v>162</v>
      </c>
      <c r="J77" s="5">
        <v>12</v>
      </c>
      <c r="K77" s="5" t="s">
        <v>440</v>
      </c>
    </row>
    <row r="78" spans="1:11" x14ac:dyDescent="0.25">
      <c r="A78" s="5" t="s">
        <v>492</v>
      </c>
      <c r="B78" s="5" t="s">
        <v>402</v>
      </c>
      <c r="C78" s="5">
        <v>3</v>
      </c>
      <c r="D78" s="5" t="s">
        <v>403</v>
      </c>
      <c r="E78" s="5">
        <v>1</v>
      </c>
      <c r="F78" s="5" t="s">
        <v>170</v>
      </c>
      <c r="G78" s="5" t="s">
        <v>162</v>
      </c>
      <c r="H78" s="5">
        <v>1</v>
      </c>
      <c r="I78" s="5" t="s">
        <v>404</v>
      </c>
      <c r="J78" s="5">
        <v>13</v>
      </c>
      <c r="K78" s="5"/>
    </row>
    <row r="79" spans="1:11" x14ac:dyDescent="0.25">
      <c r="A79" s="5" t="s">
        <v>493</v>
      </c>
      <c r="B79" s="5" t="s">
        <v>402</v>
      </c>
      <c r="C79" s="5">
        <v>4</v>
      </c>
      <c r="D79" s="5" t="s">
        <v>407</v>
      </c>
      <c r="E79" s="5">
        <v>2</v>
      </c>
      <c r="F79" s="5" t="s">
        <v>160</v>
      </c>
      <c r="G79" s="5" t="s">
        <v>162</v>
      </c>
      <c r="H79" s="5">
        <v>5</v>
      </c>
      <c r="I79" s="5" t="s">
        <v>162</v>
      </c>
      <c r="J79" s="5">
        <v>14</v>
      </c>
      <c r="K79" s="5" t="s">
        <v>440</v>
      </c>
    </row>
    <row r="80" spans="1:11" x14ac:dyDescent="0.25">
      <c r="A80" s="5" t="s">
        <v>494</v>
      </c>
      <c r="B80" s="5" t="s">
        <v>413</v>
      </c>
      <c r="C80" s="5">
        <v>4</v>
      </c>
      <c r="D80" s="5" t="s">
        <v>409</v>
      </c>
      <c r="E80" s="5">
        <v>2</v>
      </c>
      <c r="F80" s="5" t="s">
        <v>160</v>
      </c>
      <c r="G80" s="5" t="s">
        <v>179</v>
      </c>
      <c r="H80" s="5">
        <v>4</v>
      </c>
      <c r="I80" s="5" t="s">
        <v>404</v>
      </c>
      <c r="J80" s="5">
        <v>6</v>
      </c>
      <c r="K80" s="5"/>
    </row>
    <row r="81" spans="1:11" x14ac:dyDescent="0.25">
      <c r="A81" s="5" t="s">
        <v>495</v>
      </c>
      <c r="B81" s="5" t="s">
        <v>402</v>
      </c>
      <c r="C81" s="5">
        <v>3</v>
      </c>
      <c r="D81" s="5" t="s">
        <v>403</v>
      </c>
      <c r="E81" s="5">
        <v>4</v>
      </c>
      <c r="F81" s="5" t="s">
        <v>170</v>
      </c>
      <c r="G81" s="5" t="s">
        <v>163</v>
      </c>
      <c r="H81" s="5">
        <v>5</v>
      </c>
      <c r="I81" s="5" t="s">
        <v>162</v>
      </c>
      <c r="J81" s="5">
        <v>11</v>
      </c>
      <c r="K81" s="5" t="s">
        <v>416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12" customWidth="1"/>
    <col min="4" max="4" width="10" customWidth="1"/>
  </cols>
  <sheetData>
    <row r="1" spans="1:3" ht="18" x14ac:dyDescent="0.25">
      <c r="A1" s="10" t="s">
        <v>496</v>
      </c>
    </row>
    <row r="2" spans="1:3" x14ac:dyDescent="0.25">
      <c r="A2" s="11" t="s">
        <v>497</v>
      </c>
    </row>
    <row r="4" spans="1:3" ht="16.5" x14ac:dyDescent="0.25">
      <c r="A4" s="12" t="s">
        <v>47</v>
      </c>
    </row>
    <row r="5" spans="1:3" x14ac:dyDescent="0.25">
      <c r="A5" s="4" t="s">
        <v>498</v>
      </c>
      <c r="B5" s="4">
        <f>COUNTA(Students_Data!$A$2:$A$1000)</f>
        <v>120</v>
      </c>
    </row>
    <row r="7" spans="1:3" x14ac:dyDescent="0.25">
      <c r="A7" s="4" t="s">
        <v>499</v>
      </c>
    </row>
    <row r="8" spans="1:3" x14ac:dyDescent="0.25">
      <c r="A8" s="13" t="s">
        <v>500</v>
      </c>
      <c r="B8" s="13" t="s">
        <v>501</v>
      </c>
      <c r="C8" s="13" t="s">
        <v>502</v>
      </c>
    </row>
    <row r="9" spans="1:3" x14ac:dyDescent="0.25">
      <c r="A9" s="3" t="s">
        <v>159</v>
      </c>
      <c r="B9" s="3">
        <f>COUNTIF(Students_Data!$B$2:$B$1000,A9)</f>
        <v>68</v>
      </c>
      <c r="C9" s="14">
        <f>IFERROR(B9/SUM($B$9:$B$10),0)</f>
        <v>0.56666666666666665</v>
      </c>
    </row>
    <row r="10" spans="1:3" x14ac:dyDescent="0.25">
      <c r="A10" s="3" t="s">
        <v>166</v>
      </c>
      <c r="B10" s="3">
        <f>COUNTIF(Students_Data!$B$2:$B$1000,A10)</f>
        <v>52</v>
      </c>
      <c r="C10" s="14">
        <f>IFERROR(B10/SUM($B$9:$B$10),0)</f>
        <v>0.43333333333333335</v>
      </c>
    </row>
    <row r="20" spans="1:3" x14ac:dyDescent="0.25">
      <c r="A20" s="4" t="s">
        <v>503</v>
      </c>
    </row>
    <row r="21" spans="1:3" x14ac:dyDescent="0.25">
      <c r="A21" s="13" t="s">
        <v>500</v>
      </c>
      <c r="B21" s="13" t="s">
        <v>501</v>
      </c>
      <c r="C21" s="13" t="s">
        <v>502</v>
      </c>
    </row>
    <row r="22" spans="1:3" x14ac:dyDescent="0.25">
      <c r="A22" s="3" t="s">
        <v>196</v>
      </c>
      <c r="B22" s="3">
        <f>COUNTIF(Students_Data!$C$2:$C$1000,A22)</f>
        <v>12</v>
      </c>
      <c r="C22" s="14">
        <f>IFERROR(B22/SUM($B$22:$B$26),0)</f>
        <v>0.1</v>
      </c>
    </row>
    <row r="23" spans="1:3" x14ac:dyDescent="0.25">
      <c r="A23" s="3" t="s">
        <v>170</v>
      </c>
      <c r="B23" s="3">
        <f>COUNTIF(Students_Data!$C$2:$C$1000,A23)</f>
        <v>17</v>
      </c>
      <c r="C23" s="14">
        <f>IFERROR(B23/SUM($B$22:$B$26),0)</f>
        <v>0.14166666666666666</v>
      </c>
    </row>
    <row r="24" spans="1:3" x14ac:dyDescent="0.25">
      <c r="A24" s="3" t="s">
        <v>160</v>
      </c>
      <c r="B24" s="3">
        <f>COUNTIF(Students_Data!$C$2:$C$1000,A24)</f>
        <v>42</v>
      </c>
      <c r="C24" s="14">
        <f>IFERROR(B24/SUM($B$22:$B$26),0)</f>
        <v>0.35</v>
      </c>
    </row>
    <row r="25" spans="1:3" x14ac:dyDescent="0.25">
      <c r="A25" s="3" t="s">
        <v>167</v>
      </c>
      <c r="B25" s="3">
        <f>COUNTIF(Students_Data!$C$2:$C$1000,A25)</f>
        <v>32</v>
      </c>
      <c r="C25" s="14">
        <f>IFERROR(B25/SUM($B$22:$B$26),0)</f>
        <v>0.26666666666666666</v>
      </c>
    </row>
    <row r="26" spans="1:3" x14ac:dyDescent="0.25">
      <c r="A26" s="3" t="s">
        <v>190</v>
      </c>
      <c r="B26" s="3">
        <f>COUNTIF(Students_Data!$C$2:$C$1000,A26)</f>
        <v>17</v>
      </c>
      <c r="C26" s="14">
        <f>IFERROR(B26/SUM($B$22:$B$26),0)</f>
        <v>0.14166666666666666</v>
      </c>
    </row>
    <row r="36" spans="1:3" x14ac:dyDescent="0.25">
      <c r="A36" s="4" t="s">
        <v>504</v>
      </c>
    </row>
    <row r="37" spans="1:3" x14ac:dyDescent="0.25">
      <c r="A37" s="13" t="s">
        <v>500</v>
      </c>
      <c r="B37" s="13" t="s">
        <v>501</v>
      </c>
      <c r="C37" s="13" t="s">
        <v>502</v>
      </c>
    </row>
    <row r="38" spans="1:3" x14ac:dyDescent="0.25">
      <c r="A38" s="3" t="s">
        <v>185</v>
      </c>
      <c r="B38" s="3">
        <f>COUNTIF(Students_Data!$D$2:$D$1000,A38)</f>
        <v>42</v>
      </c>
      <c r="C38" s="14">
        <f>IFERROR(B38/SUM($B$38:$B$42),0)</f>
        <v>0.35</v>
      </c>
    </row>
    <row r="39" spans="1:3" x14ac:dyDescent="0.25">
      <c r="A39" s="3" t="s">
        <v>161</v>
      </c>
      <c r="B39" s="3">
        <f>COUNTIF(Students_Data!$D$2:$D$1000,A39)</f>
        <v>30</v>
      </c>
      <c r="C39" s="14">
        <f>IFERROR(B39/SUM($B$38:$B$42),0)</f>
        <v>0.25</v>
      </c>
    </row>
    <row r="40" spans="1:3" x14ac:dyDescent="0.25">
      <c r="A40" s="3" t="s">
        <v>174</v>
      </c>
      <c r="B40" s="3">
        <f>COUNTIF(Students_Data!$D$2:$D$1000,A40)</f>
        <v>24</v>
      </c>
      <c r="C40" s="14">
        <f>IFERROR(B40/SUM($B$38:$B$42),0)</f>
        <v>0.2</v>
      </c>
    </row>
    <row r="41" spans="1:3" x14ac:dyDescent="0.25">
      <c r="A41" s="3" t="s">
        <v>176</v>
      </c>
      <c r="B41" s="3">
        <f>COUNTIF(Students_Data!$D$2:$D$1000,A41)</f>
        <v>12</v>
      </c>
      <c r="C41" s="14">
        <f>IFERROR(B41/SUM($B$38:$B$42),0)</f>
        <v>0.1</v>
      </c>
    </row>
    <row r="42" spans="1:3" x14ac:dyDescent="0.25">
      <c r="A42" s="3" t="s">
        <v>171</v>
      </c>
      <c r="B42" s="3">
        <f>COUNTIF(Students_Data!$D$2:$D$1000,A42)</f>
        <v>12</v>
      </c>
      <c r="C42" s="14">
        <f>IFERROR(B42/SUM($B$38:$B$42),0)</f>
        <v>0.1</v>
      </c>
    </row>
    <row r="52" spans="1:3" x14ac:dyDescent="0.25">
      <c r="A52" s="4" t="s">
        <v>505</v>
      </c>
    </row>
    <row r="53" spans="1:3" x14ac:dyDescent="0.25">
      <c r="A53" s="13" t="s">
        <v>500</v>
      </c>
      <c r="B53" s="13" t="s">
        <v>501</v>
      </c>
      <c r="C53" s="13" t="s">
        <v>502</v>
      </c>
    </row>
    <row r="54" spans="1:3" x14ac:dyDescent="0.25">
      <c r="A54" s="3" t="s">
        <v>163</v>
      </c>
      <c r="B54" s="3">
        <f>COUNTIF(Students_Data!$E$2:$E$1000,A54)</f>
        <v>62</v>
      </c>
      <c r="C54" s="14">
        <f>IFERROR(B54/SUM($B$54:$B$56),0)</f>
        <v>0.51666666666666672</v>
      </c>
    </row>
    <row r="55" spans="1:3" x14ac:dyDescent="0.25">
      <c r="A55" s="3" t="s">
        <v>179</v>
      </c>
      <c r="B55" s="3">
        <f>COUNTIF(Students_Data!$E$2:$E$1000,A55)</f>
        <v>34</v>
      </c>
      <c r="C55" s="14">
        <f>IFERROR(B55/SUM($B$54:$B$56),0)</f>
        <v>0.28333333333333333</v>
      </c>
    </row>
    <row r="56" spans="1:3" x14ac:dyDescent="0.25">
      <c r="A56" s="3" t="s">
        <v>162</v>
      </c>
      <c r="B56" s="3">
        <f>COUNTIF(Students_Data!$E$2:$E$1000,A56)</f>
        <v>24</v>
      </c>
      <c r="C56" s="14">
        <f>IFERROR(B56/SUM($B$54:$B$56),0)</f>
        <v>0.2</v>
      </c>
    </row>
    <row r="66" spans="1:3" x14ac:dyDescent="0.25">
      <c r="A66" s="4" t="s">
        <v>506</v>
      </c>
    </row>
    <row r="67" spans="1:3" x14ac:dyDescent="0.25">
      <c r="A67" s="13" t="s">
        <v>500</v>
      </c>
      <c r="B67" s="13" t="s">
        <v>501</v>
      </c>
      <c r="C67" s="13" t="s">
        <v>502</v>
      </c>
    </row>
    <row r="68" spans="1:3" x14ac:dyDescent="0.25">
      <c r="A68" s="3" t="s">
        <v>163</v>
      </c>
      <c r="B68" s="3">
        <f>COUNTIF(Students_Data!$F$2:$F$1000,A68)</f>
        <v>35</v>
      </c>
      <c r="C68" s="14">
        <f>IFERROR(B68/SUM($B$68:$B$70),0)</f>
        <v>0.29166666666666669</v>
      </c>
    </row>
    <row r="69" spans="1:3" x14ac:dyDescent="0.25">
      <c r="A69" s="3" t="s">
        <v>160</v>
      </c>
      <c r="B69" s="3">
        <f>COUNTIF(Students_Data!$F$2:$F$1000,A69)</f>
        <v>30</v>
      </c>
      <c r="C69" s="14">
        <f>IFERROR(B69/SUM($B$68:$B$70),0)</f>
        <v>0.25</v>
      </c>
    </row>
    <row r="70" spans="1:3" x14ac:dyDescent="0.25">
      <c r="A70" s="3" t="s">
        <v>162</v>
      </c>
      <c r="B70" s="3">
        <f>COUNTIF(Students_Data!$F$2:$F$1000,A70)</f>
        <v>55</v>
      </c>
      <c r="C70" s="14">
        <f>IFERROR(B70/SUM($B$68:$B$70),0)</f>
        <v>0.45833333333333331</v>
      </c>
    </row>
    <row r="80" spans="1:3" x14ac:dyDescent="0.25">
      <c r="A80" s="4" t="s">
        <v>507</v>
      </c>
    </row>
    <row r="81" spans="1:4" x14ac:dyDescent="0.25">
      <c r="A81" s="13" t="s">
        <v>500</v>
      </c>
      <c r="B81" s="13" t="s">
        <v>501</v>
      </c>
      <c r="C81" s="13" t="s">
        <v>502</v>
      </c>
    </row>
    <row r="82" spans="1:4" x14ac:dyDescent="0.25">
      <c r="A82" s="3" t="s">
        <v>180</v>
      </c>
      <c r="B82" s="3">
        <f>COUNTIF(Students_Data!$H$2:$H$1000,A82)</f>
        <v>53</v>
      </c>
      <c r="C82" s="14">
        <f>IFERROR(B82/SUM($B$82:$B$85),0)</f>
        <v>0.44166666666666665</v>
      </c>
    </row>
    <row r="83" spans="1:4" x14ac:dyDescent="0.25">
      <c r="A83" s="3" t="s">
        <v>164</v>
      </c>
      <c r="B83" s="3">
        <f>COUNTIF(Students_Data!$H$2:$H$1000,A83)</f>
        <v>27</v>
      </c>
      <c r="C83" s="14">
        <f>IFERROR(B83/SUM($B$82:$B$85),0)</f>
        <v>0.22500000000000001</v>
      </c>
    </row>
    <row r="84" spans="1:4" x14ac:dyDescent="0.25">
      <c r="A84" s="3" t="s">
        <v>168</v>
      </c>
      <c r="B84" s="3">
        <f>COUNTIF(Students_Data!$H$2:$H$1000,A84)</f>
        <v>25</v>
      </c>
      <c r="C84" s="14">
        <f>IFERROR(B84/SUM($B$82:$B$85),0)</f>
        <v>0.20833333333333334</v>
      </c>
    </row>
    <row r="85" spans="1:4" x14ac:dyDescent="0.25">
      <c r="A85" s="3" t="s">
        <v>201</v>
      </c>
      <c r="B85" s="3">
        <f>COUNTIF(Students_Data!$H$2:$H$1000,A85)</f>
        <v>15</v>
      </c>
      <c r="C85" s="14">
        <f>IFERROR(B85/SUM($B$82:$B$85),0)</f>
        <v>0.125</v>
      </c>
    </row>
    <row r="95" spans="1:4" x14ac:dyDescent="0.25">
      <c r="A95" s="4" t="s">
        <v>508</v>
      </c>
    </row>
    <row r="96" spans="1:4" x14ac:dyDescent="0.25">
      <c r="A96" s="13" t="s">
        <v>44</v>
      </c>
      <c r="B96" s="13" t="s">
        <v>509</v>
      </c>
      <c r="C96" s="13" t="s">
        <v>510</v>
      </c>
      <c r="D96" s="13" t="s">
        <v>511</v>
      </c>
    </row>
    <row r="97" spans="1:4" x14ac:dyDescent="0.25">
      <c r="A97" s="3" t="s">
        <v>512</v>
      </c>
      <c r="B97" s="15">
        <f>IFERROR(AVERAGE(Students_Data!$G$2:$G$1000),0)</f>
        <v>3.7</v>
      </c>
      <c r="C97" s="14">
        <f>IFERROR(COUNTIF(Students_Data!$G$2:$G$1000,"&gt;=4")/COUNT(Students_Data!$G$2:$G$1000),0)</f>
        <v>0.64166666666666672</v>
      </c>
      <c r="D97" s="3">
        <f>COUNT(Students_Data!$G$2:$G$1000)</f>
        <v>120</v>
      </c>
    </row>
    <row r="98" spans="1:4" x14ac:dyDescent="0.25">
      <c r="A98" s="3" t="s">
        <v>513</v>
      </c>
      <c r="B98" s="15">
        <f>IFERROR(AVERAGE(Students_Data!$I$2:$I$1000),0)</f>
        <v>3.6916666666666669</v>
      </c>
      <c r="C98" s="14">
        <f>IFERROR(COUNTIF(Students_Data!$I$2:$I$1000,"&gt;=4")/COUNT(Students_Data!$I$2:$I$1000),0)</f>
        <v>0.60833333333333328</v>
      </c>
      <c r="D98" s="3">
        <f>COUNT(Students_Data!$I$2:$I$1000)</f>
        <v>120</v>
      </c>
    </row>
    <row r="99" spans="1:4" x14ac:dyDescent="0.25">
      <c r="A99" s="3" t="s">
        <v>514</v>
      </c>
      <c r="B99" s="15">
        <f>IFERROR(AVERAGE(Students_Data!$J$2:$J$1000),0)</f>
        <v>3.6083333333333334</v>
      </c>
      <c r="C99" s="14">
        <f>IFERROR(COUNTIF(Students_Data!$J$2:$J$1000,"&gt;=4")/COUNT(Students_Data!$J$2:$J$1000),0)</f>
        <v>0.55000000000000004</v>
      </c>
      <c r="D99" s="3">
        <f>COUNT(Students_Data!$J$2:$J$1000)</f>
        <v>120</v>
      </c>
    </row>
    <row r="100" spans="1:4" x14ac:dyDescent="0.25">
      <c r="A100" s="3" t="s">
        <v>515</v>
      </c>
      <c r="B100" s="15">
        <f>IFERROR(AVERAGE(Students_Data!$K$2:$K$1000),0)</f>
        <v>3.2166666666666668</v>
      </c>
      <c r="C100" s="14">
        <f>IFERROR(COUNTIF(Students_Data!$K$2:$K$1000,"&gt;=4")/COUNT(Students_Data!$K$2:$K$1000),0)</f>
        <v>0.42499999999999999</v>
      </c>
      <c r="D100" s="3">
        <f>COUNT(Students_Data!$K$2:$K$1000)</f>
        <v>120</v>
      </c>
    </row>
    <row r="113" spans="1:3" ht="16.5" x14ac:dyDescent="0.25">
      <c r="A113" s="12" t="s">
        <v>81</v>
      </c>
    </row>
    <row r="114" spans="1:3" x14ac:dyDescent="0.25">
      <c r="A114" s="4" t="s">
        <v>498</v>
      </c>
      <c r="B114" s="4">
        <f>COUNTA(Kitchen_Data!$A$2:$A$1000)</f>
        <v>24</v>
      </c>
    </row>
    <row r="116" spans="1:3" x14ac:dyDescent="0.25">
      <c r="A116" s="4" t="s">
        <v>516</v>
      </c>
    </row>
    <row r="117" spans="1:3" x14ac:dyDescent="0.25">
      <c r="A117" s="13" t="s">
        <v>500</v>
      </c>
      <c r="B117" s="13" t="s">
        <v>501</v>
      </c>
      <c r="C117" s="13" t="s">
        <v>502</v>
      </c>
    </row>
    <row r="118" spans="1:3" x14ac:dyDescent="0.25">
      <c r="A118" s="3" t="s">
        <v>312</v>
      </c>
      <c r="B118" s="3">
        <f>COUNTIF(Kitchen_Data!$B$2:$B$1000,A118)</f>
        <v>9</v>
      </c>
      <c r="C118" s="14">
        <f>IFERROR(B118/SUM($B$118:$B$120),0)</f>
        <v>0.375</v>
      </c>
    </row>
    <row r="119" spans="1:3" x14ac:dyDescent="0.25">
      <c r="A119" s="3" t="s">
        <v>307</v>
      </c>
      <c r="B119" s="3">
        <f>COUNTIF(Kitchen_Data!$B$2:$B$1000,A119)</f>
        <v>10</v>
      </c>
      <c r="C119" s="14">
        <f>IFERROR(B119/SUM($B$118:$B$120),0)</f>
        <v>0.41666666666666669</v>
      </c>
    </row>
    <row r="120" spans="1:3" x14ac:dyDescent="0.25">
      <c r="A120" s="3" t="s">
        <v>325</v>
      </c>
      <c r="B120" s="3">
        <f>COUNTIF(Kitchen_Data!$B$2:$B$1000,A120)</f>
        <v>5</v>
      </c>
      <c r="C120" s="14">
        <f>IFERROR(B120/SUM($B$118:$B$120),0)</f>
        <v>0.20833333333333334</v>
      </c>
    </row>
    <row r="130" spans="1:3" x14ac:dyDescent="0.25">
      <c r="A130" s="4" t="s">
        <v>517</v>
      </c>
    </row>
    <row r="131" spans="1:3" x14ac:dyDescent="0.25">
      <c r="A131" s="13" t="s">
        <v>500</v>
      </c>
      <c r="B131" s="13" t="s">
        <v>501</v>
      </c>
      <c r="C131" s="13" t="s">
        <v>502</v>
      </c>
    </row>
    <row r="132" spans="1:3" x14ac:dyDescent="0.25">
      <c r="A132" s="3" t="s">
        <v>313</v>
      </c>
      <c r="B132" s="3">
        <f>COUNTIF(Kitchen_Data!$C$2:$C$1000,A132)</f>
        <v>14</v>
      </c>
      <c r="C132" s="14">
        <f>IFERROR(B132/SUM($B$132:$B$135),0)</f>
        <v>0.58333333333333337</v>
      </c>
    </row>
    <row r="133" spans="1:3" x14ac:dyDescent="0.25">
      <c r="A133" s="3" t="s">
        <v>308</v>
      </c>
      <c r="B133" s="3">
        <f>COUNTIF(Kitchen_Data!$C$2:$C$1000,A133)</f>
        <v>6</v>
      </c>
      <c r="C133" s="14">
        <f>IFERROR(B133/SUM($B$132:$B$135),0)</f>
        <v>0.25</v>
      </c>
    </row>
    <row r="134" spans="1:3" x14ac:dyDescent="0.25">
      <c r="A134" s="3" t="s">
        <v>335</v>
      </c>
      <c r="B134" s="3">
        <f>COUNTIF(Kitchen_Data!$C$2:$C$1000,A134)</f>
        <v>2</v>
      </c>
      <c r="C134" s="14">
        <f>IFERROR(B134/SUM($B$132:$B$135),0)</f>
        <v>8.3333333333333329E-2</v>
      </c>
    </row>
    <row r="135" spans="1:3" x14ac:dyDescent="0.25">
      <c r="A135" s="3" t="s">
        <v>333</v>
      </c>
      <c r="B135" s="3">
        <f>COUNTIF(Kitchen_Data!$C$2:$C$1000,A135)</f>
        <v>2</v>
      </c>
      <c r="C135" s="14">
        <f>IFERROR(B135/SUM($B$132:$B$135),0)</f>
        <v>8.3333333333333329E-2</v>
      </c>
    </row>
    <row r="145" spans="1:3" x14ac:dyDescent="0.25">
      <c r="A145" s="4" t="s">
        <v>518</v>
      </c>
    </row>
    <row r="146" spans="1:3" x14ac:dyDescent="0.25">
      <c r="A146" s="3" t="s">
        <v>519</v>
      </c>
      <c r="B146" s="15">
        <f>IFERROR(AVERAGE(Kitchen_Data!$D$2:$D$1000),0)</f>
        <v>21.291666666666668</v>
      </c>
    </row>
    <row r="147" spans="1:3" x14ac:dyDescent="0.25">
      <c r="A147" s="3" t="s">
        <v>520</v>
      </c>
      <c r="B147" s="15">
        <f>IFERROR(MEDIAN(Kitchen_Data!$D$2:$D$1000),0)</f>
        <v>21.5</v>
      </c>
    </row>
    <row r="148" spans="1:3" x14ac:dyDescent="0.25">
      <c r="A148" s="3" t="s">
        <v>521</v>
      </c>
      <c r="B148" s="15">
        <f>IFERROR(MIN(Kitchen_Data!$D$2:$D$1000),0)</f>
        <v>5</v>
      </c>
    </row>
    <row r="149" spans="1:3" x14ac:dyDescent="0.25">
      <c r="A149" s="3" t="s">
        <v>522</v>
      </c>
      <c r="B149" s="15">
        <f>IFERROR(MAX(Kitchen_Data!$D$2:$D$1000),0)</f>
        <v>35</v>
      </c>
    </row>
    <row r="152" spans="1:3" x14ac:dyDescent="0.25">
      <c r="A152" s="4" t="s">
        <v>523</v>
      </c>
    </row>
    <row r="153" spans="1:3" x14ac:dyDescent="0.25">
      <c r="A153" s="13" t="s">
        <v>500</v>
      </c>
      <c r="B153" s="13" t="s">
        <v>501</v>
      </c>
      <c r="C153" s="13" t="s">
        <v>502</v>
      </c>
    </row>
    <row r="154" spans="1:3" x14ac:dyDescent="0.25">
      <c r="A154" s="3" t="s">
        <v>317</v>
      </c>
      <c r="B154" s="3">
        <f>COUNTIF(Kitchen_Data!$E$2:$E$1000,A154)</f>
        <v>5</v>
      </c>
      <c r="C154" s="14">
        <f>IFERROR(B154/SUM($B$154:$B$156),0)</f>
        <v>0.20833333333333334</v>
      </c>
    </row>
    <row r="155" spans="1:3" x14ac:dyDescent="0.25">
      <c r="A155" s="3" t="s">
        <v>314</v>
      </c>
      <c r="B155" s="3">
        <f>COUNTIF(Kitchen_Data!$E$2:$E$1000,A155)</f>
        <v>7</v>
      </c>
      <c r="C155" s="14">
        <f>IFERROR(B155/SUM($B$154:$B$156),0)</f>
        <v>0.29166666666666669</v>
      </c>
    </row>
    <row r="156" spans="1:3" x14ac:dyDescent="0.25">
      <c r="A156" s="3" t="s">
        <v>162</v>
      </c>
      <c r="B156" s="3">
        <f>COUNTIF(Kitchen_Data!$E$2:$E$1000,A156)</f>
        <v>12</v>
      </c>
      <c r="C156" s="14">
        <f>IFERROR(B156/SUM($B$154:$B$156),0)</f>
        <v>0.5</v>
      </c>
    </row>
    <row r="166" spans="1:3" x14ac:dyDescent="0.25">
      <c r="A166" s="4" t="s">
        <v>524</v>
      </c>
    </row>
    <row r="167" spans="1:3" x14ac:dyDescent="0.25">
      <c r="A167" s="13" t="s">
        <v>500</v>
      </c>
      <c r="B167" s="13" t="s">
        <v>501</v>
      </c>
      <c r="C167" s="13" t="s">
        <v>502</v>
      </c>
    </row>
    <row r="168" spans="1:3" x14ac:dyDescent="0.25">
      <c r="A168" s="3" t="s">
        <v>196</v>
      </c>
      <c r="B168" s="3">
        <f>COUNTIF(Kitchen_Data!$F$2:$F$1000,A168)</f>
        <v>0</v>
      </c>
      <c r="C168" s="14">
        <f>IFERROR(B168/SUM($B$168:$B$172),0)</f>
        <v>0</v>
      </c>
    </row>
    <row r="169" spans="1:3" x14ac:dyDescent="0.25">
      <c r="A169" s="3" t="s">
        <v>170</v>
      </c>
      <c r="B169" s="3">
        <f>COUNTIF(Kitchen_Data!$F$2:$F$1000,A169)</f>
        <v>6</v>
      </c>
      <c r="C169" s="14">
        <f>IFERROR(B169/SUM($B$168:$B$172),0)</f>
        <v>0.25</v>
      </c>
    </row>
    <row r="170" spans="1:3" x14ac:dyDescent="0.25">
      <c r="A170" s="3" t="s">
        <v>309</v>
      </c>
      <c r="B170" s="3">
        <f>COUNTIF(Kitchen_Data!$F$2:$F$1000,A170)</f>
        <v>10</v>
      </c>
      <c r="C170" s="14">
        <f>IFERROR(B170/SUM($B$168:$B$172),0)</f>
        <v>0.41666666666666669</v>
      </c>
    </row>
    <row r="171" spans="1:3" x14ac:dyDescent="0.25">
      <c r="A171" s="3" t="s">
        <v>315</v>
      </c>
      <c r="B171" s="3">
        <f>COUNTIF(Kitchen_Data!$F$2:$F$1000,A171)</f>
        <v>7</v>
      </c>
      <c r="C171" s="14">
        <f>IFERROR(B171/SUM($B$168:$B$172),0)</f>
        <v>0.29166666666666669</v>
      </c>
    </row>
    <row r="172" spans="1:3" x14ac:dyDescent="0.25">
      <c r="A172" s="3" t="s">
        <v>329</v>
      </c>
      <c r="B172" s="3">
        <f>COUNTIF(Kitchen_Data!$F$2:$F$1000,A172)</f>
        <v>1</v>
      </c>
      <c r="C172" s="14">
        <f>IFERROR(B172/SUM($B$168:$B$172),0)</f>
        <v>4.1666666666666664E-2</v>
      </c>
    </row>
    <row r="182" spans="1:4" x14ac:dyDescent="0.25">
      <c r="A182" s="4" t="s">
        <v>525</v>
      </c>
    </row>
    <row r="183" spans="1:4" x14ac:dyDescent="0.25">
      <c r="A183" s="3" t="s">
        <v>519</v>
      </c>
      <c r="B183" s="15">
        <f>IFERROR(AVERAGE(Kitchen_Data!$J$2:$J$1000),0)</f>
        <v>33.958333333333336</v>
      </c>
    </row>
    <row r="184" spans="1:4" x14ac:dyDescent="0.25">
      <c r="A184" s="3" t="s">
        <v>520</v>
      </c>
      <c r="B184" s="15">
        <f>IFERROR(MEDIAN(Kitchen_Data!$J$2:$J$1000),0)</f>
        <v>35.5</v>
      </c>
    </row>
    <row r="185" spans="1:4" x14ac:dyDescent="0.25">
      <c r="A185" s="3" t="s">
        <v>521</v>
      </c>
      <c r="B185" s="15">
        <f>IFERROR(MIN(Kitchen_Data!$J$2:$J$1000),0)</f>
        <v>10</v>
      </c>
    </row>
    <row r="186" spans="1:4" x14ac:dyDescent="0.25">
      <c r="A186" s="3" t="s">
        <v>522</v>
      </c>
      <c r="B186" s="15">
        <f>IFERROR(MAX(Kitchen_Data!$J$2:$J$1000),0)</f>
        <v>57</v>
      </c>
    </row>
    <row r="189" spans="1:4" x14ac:dyDescent="0.25">
      <c r="A189" s="4" t="s">
        <v>508</v>
      </c>
    </row>
    <row r="190" spans="1:4" x14ac:dyDescent="0.25">
      <c r="A190" s="13" t="s">
        <v>44</v>
      </c>
      <c r="B190" s="13" t="s">
        <v>509</v>
      </c>
      <c r="C190" s="13" t="s">
        <v>510</v>
      </c>
      <c r="D190" s="13" t="s">
        <v>511</v>
      </c>
    </row>
    <row r="191" spans="1:4" x14ac:dyDescent="0.25">
      <c r="A191" s="3" t="s">
        <v>526</v>
      </c>
      <c r="B191" s="15">
        <f>IFERROR(AVERAGE(Kitchen_Data!$G$2:$G$1000),0)</f>
        <v>4</v>
      </c>
      <c r="C191" s="14">
        <f>IFERROR(COUNTIF(Kitchen_Data!$G$2:$G$1000,"&gt;=4")/COUNT(Kitchen_Data!$G$2:$G$1000),0)</f>
        <v>0.75</v>
      </c>
      <c r="D191" s="3">
        <f>COUNT(Kitchen_Data!$G$2:$G$1000)</f>
        <v>24</v>
      </c>
    </row>
    <row r="192" spans="1:4" x14ac:dyDescent="0.25">
      <c r="A192" s="3" t="s">
        <v>527</v>
      </c>
      <c r="B192" s="15">
        <f>IFERROR(AVERAGE(Kitchen_Data!$H$2:$H$1000),0)</f>
        <v>3.7916666666666665</v>
      </c>
      <c r="C192" s="14">
        <f>IFERROR(COUNTIF(Kitchen_Data!$H$2:$H$1000,"&gt;=4")/COUNT(Kitchen_Data!$H$2:$H$1000),0)</f>
        <v>0.66666666666666663</v>
      </c>
      <c r="D192" s="3">
        <f>COUNT(Kitchen_Data!$H$2:$H$1000)</f>
        <v>24</v>
      </c>
    </row>
    <row r="193" spans="1:4" x14ac:dyDescent="0.25">
      <c r="A193" s="3" t="s">
        <v>528</v>
      </c>
      <c r="B193" s="15">
        <f>IFERROR(AVERAGE(Kitchen_Data!$I$2:$I$1000),0)</f>
        <v>3.3333333333333335</v>
      </c>
      <c r="C193" s="14">
        <f>IFERROR(COUNTIF(Kitchen_Data!$I$2:$I$1000,"&gt;=4")/COUNT(Kitchen_Data!$I$2:$I$1000),0)</f>
        <v>0.5</v>
      </c>
      <c r="D193" s="3">
        <f>COUNT(Kitchen_Data!$I$2:$I$1000)</f>
        <v>24</v>
      </c>
    </row>
    <row r="194" spans="1:4" x14ac:dyDescent="0.25">
      <c r="A194" s="3" t="s">
        <v>529</v>
      </c>
      <c r="B194" s="15">
        <f>IFERROR(AVERAGE(Kitchen_Data!$K$2:$K$1000),0)</f>
        <v>3.1666666666666665</v>
      </c>
      <c r="C194" s="14">
        <f>IFERROR(COUNTIF(Kitchen_Data!$K$2:$K$1000,"&gt;=4")/COUNT(Kitchen_Data!$K$2:$K$1000),0)</f>
        <v>0.41666666666666669</v>
      </c>
      <c r="D194" s="3">
        <f>COUNT(Kitchen_Data!$K$2:$K$1000)</f>
        <v>24</v>
      </c>
    </row>
    <row r="207" spans="1:4" ht="16.5" x14ac:dyDescent="0.25">
      <c r="A207" s="12" t="s">
        <v>110</v>
      </c>
    </row>
    <row r="208" spans="1:4" x14ac:dyDescent="0.25">
      <c r="A208" s="4" t="s">
        <v>498</v>
      </c>
      <c r="B208" s="4">
        <f>COUNTA(Hospital_Data!$A$2:$A$1000)</f>
        <v>36</v>
      </c>
    </row>
    <row r="210" spans="1:3" x14ac:dyDescent="0.25">
      <c r="A210" s="4" t="s">
        <v>530</v>
      </c>
    </row>
    <row r="211" spans="1:3" x14ac:dyDescent="0.25">
      <c r="A211" s="13" t="s">
        <v>500</v>
      </c>
      <c r="B211" s="13" t="s">
        <v>501</v>
      </c>
      <c r="C211" s="13" t="s">
        <v>502</v>
      </c>
    </row>
    <row r="212" spans="1:3" x14ac:dyDescent="0.25">
      <c r="A212" s="3" t="s">
        <v>348</v>
      </c>
      <c r="B212" s="3">
        <f>COUNTIF(Hospital_Data!$B$2:$B$1000,A212)</f>
        <v>27</v>
      </c>
      <c r="C212" s="14">
        <f>IFERROR(B212/SUM($B$212:$B$214),0)</f>
        <v>0.75</v>
      </c>
    </row>
    <row r="213" spans="1:3" x14ac:dyDescent="0.25">
      <c r="A213" s="3" t="s">
        <v>365</v>
      </c>
      <c r="B213" s="3">
        <f>COUNTIF(Hospital_Data!$B$2:$B$1000,A213)</f>
        <v>3</v>
      </c>
      <c r="C213" s="14">
        <f>IFERROR(B213/SUM($B$212:$B$214),0)</f>
        <v>8.3333333333333329E-2</v>
      </c>
    </row>
    <row r="214" spans="1:3" x14ac:dyDescent="0.25">
      <c r="A214" s="3" t="s">
        <v>373</v>
      </c>
      <c r="B214" s="3">
        <f>COUNTIF(Hospital_Data!$B$2:$B$1000,A214)</f>
        <v>6</v>
      </c>
      <c r="C214" s="14">
        <f>IFERROR(B214/SUM($B$212:$B$214),0)</f>
        <v>0.16666666666666666</v>
      </c>
    </row>
    <row r="224" spans="1:3" x14ac:dyDescent="0.25">
      <c r="A224" s="4" t="s">
        <v>531</v>
      </c>
    </row>
    <row r="225" spans="1:3" x14ac:dyDescent="0.25">
      <c r="A225" s="13" t="s">
        <v>500</v>
      </c>
      <c r="B225" s="13" t="s">
        <v>501</v>
      </c>
      <c r="C225" s="13" t="s">
        <v>502</v>
      </c>
    </row>
    <row r="226" spans="1:3" x14ac:dyDescent="0.25">
      <c r="A226" s="3" t="s">
        <v>349</v>
      </c>
      <c r="B226" s="3">
        <f>COUNTIF(Hospital_Data!$C$2:$C$1000,A226)</f>
        <v>23</v>
      </c>
      <c r="C226" s="14">
        <f>IFERROR(B226/SUM($B$226:$B$229),0)</f>
        <v>0.63888888888888884</v>
      </c>
    </row>
    <row r="227" spans="1:3" x14ac:dyDescent="0.25">
      <c r="A227" s="3" t="s">
        <v>375</v>
      </c>
      <c r="B227" s="3">
        <f>COUNTIF(Hospital_Data!$C$2:$C$1000,A227)</f>
        <v>6</v>
      </c>
      <c r="C227" s="14">
        <f>IFERROR(B227/SUM($B$226:$B$229),0)</f>
        <v>0.16666666666666666</v>
      </c>
    </row>
    <row r="228" spans="1:3" x14ac:dyDescent="0.25">
      <c r="A228" s="3" t="s">
        <v>360</v>
      </c>
      <c r="B228" s="3">
        <f>COUNTIF(Hospital_Data!$C$2:$C$1000,A228)</f>
        <v>7</v>
      </c>
      <c r="C228" s="14">
        <f>IFERROR(B228/SUM($B$226:$B$229),0)</f>
        <v>0.19444444444444445</v>
      </c>
    </row>
    <row r="229" spans="1:3" x14ac:dyDescent="0.25">
      <c r="A229" s="3" t="s">
        <v>532</v>
      </c>
      <c r="B229" s="3">
        <f>COUNTIF(Hospital_Data!$C$2:$C$1000,A229)</f>
        <v>0</v>
      </c>
      <c r="C229" s="14">
        <f>IFERROR(B229/SUM($B$226:$B$229),0)</f>
        <v>0</v>
      </c>
    </row>
    <row r="239" spans="1:3" x14ac:dyDescent="0.25">
      <c r="A239" s="4" t="s">
        <v>533</v>
      </c>
    </row>
    <row r="240" spans="1:3" x14ac:dyDescent="0.25">
      <c r="A240" s="3" t="s">
        <v>519</v>
      </c>
      <c r="B240" s="15">
        <f>IFERROR(AVERAGE(Hospital_Data!$E$2:$E$1000),0)</f>
        <v>29.972222222222221</v>
      </c>
    </row>
    <row r="241" spans="1:3" x14ac:dyDescent="0.25">
      <c r="A241" s="3" t="s">
        <v>520</v>
      </c>
      <c r="B241" s="15">
        <f>IFERROR(MEDIAN(Hospital_Data!$E$2:$E$1000),0)</f>
        <v>32.5</v>
      </c>
    </row>
    <row r="242" spans="1:3" x14ac:dyDescent="0.25">
      <c r="A242" s="3" t="s">
        <v>521</v>
      </c>
      <c r="B242" s="15">
        <f>IFERROR(MIN(Hospital_Data!$E$2:$E$1000),0)</f>
        <v>5</v>
      </c>
    </row>
    <row r="243" spans="1:3" x14ac:dyDescent="0.25">
      <c r="A243" s="3" t="s">
        <v>522</v>
      </c>
      <c r="B243" s="15">
        <f>IFERROR(MAX(Hospital_Data!$E$2:$E$1000),0)</f>
        <v>56</v>
      </c>
    </row>
    <row r="246" spans="1:3" x14ac:dyDescent="0.25">
      <c r="A246" s="4" t="s">
        <v>534</v>
      </c>
    </row>
    <row r="247" spans="1:3" x14ac:dyDescent="0.25">
      <c r="A247" s="13" t="s">
        <v>500</v>
      </c>
      <c r="B247" s="13" t="s">
        <v>501</v>
      </c>
      <c r="C247" s="13" t="s">
        <v>502</v>
      </c>
    </row>
    <row r="248" spans="1:3" x14ac:dyDescent="0.25">
      <c r="A248" s="3" t="s">
        <v>350</v>
      </c>
      <c r="B248" s="3">
        <f>COUNTIF(Hospital_Data!$F$2:$F$1000,A248)</f>
        <v>5</v>
      </c>
      <c r="C248" s="14">
        <f>IFERROR(B248/SUM($B$248:$B$251),0)</f>
        <v>0.1388888888888889</v>
      </c>
    </row>
    <row r="249" spans="1:3" x14ac:dyDescent="0.25">
      <c r="A249" s="3" t="s">
        <v>353</v>
      </c>
      <c r="B249" s="3">
        <f>COUNTIF(Hospital_Data!$F$2:$F$1000,A249)</f>
        <v>16</v>
      </c>
      <c r="C249" s="14">
        <f>IFERROR(B249/SUM($B$248:$B$251),0)</f>
        <v>0.44444444444444442</v>
      </c>
    </row>
    <row r="250" spans="1:3" x14ac:dyDescent="0.25">
      <c r="A250" s="3" t="s">
        <v>357</v>
      </c>
      <c r="B250" s="3">
        <f>COUNTIF(Hospital_Data!$F$2:$F$1000,A250)</f>
        <v>10</v>
      </c>
      <c r="C250" s="14">
        <f>IFERROR(B250/SUM($B$248:$B$251),0)</f>
        <v>0.27777777777777779</v>
      </c>
    </row>
    <row r="251" spans="1:3" x14ac:dyDescent="0.25">
      <c r="A251" s="3" t="s">
        <v>361</v>
      </c>
      <c r="B251" s="3">
        <f>COUNTIF(Hospital_Data!$F$2:$F$1000,A251)</f>
        <v>5</v>
      </c>
      <c r="C251" s="14">
        <f>IFERROR(B251/SUM($B$248:$B$251),0)</f>
        <v>0.1388888888888889</v>
      </c>
    </row>
    <row r="261" spans="1:3" x14ac:dyDescent="0.25">
      <c r="A261" s="4" t="s">
        <v>535</v>
      </c>
    </row>
    <row r="262" spans="1:3" x14ac:dyDescent="0.25">
      <c r="A262" s="13" t="s">
        <v>500</v>
      </c>
      <c r="B262" s="13" t="s">
        <v>501</v>
      </c>
      <c r="C262" s="13" t="s">
        <v>502</v>
      </c>
    </row>
    <row r="263" spans="1:3" x14ac:dyDescent="0.25">
      <c r="A263" s="3" t="s">
        <v>368</v>
      </c>
      <c r="B263" s="3">
        <f>COUNTIF(Hospital_Data!$G$2:$G$1000,A263)</f>
        <v>10</v>
      </c>
      <c r="C263" s="14">
        <f>IFERROR(B263/SUM($B$263:$B$267),0)</f>
        <v>0.27777777777777779</v>
      </c>
    </row>
    <row r="264" spans="1:3" x14ac:dyDescent="0.25">
      <c r="A264" s="3" t="s">
        <v>354</v>
      </c>
      <c r="B264" s="3">
        <f>COUNTIF(Hospital_Data!$G$2:$G$1000,A264)</f>
        <v>12</v>
      </c>
      <c r="C264" s="14">
        <f>IFERROR(B264/SUM($B$263:$B$267),0)</f>
        <v>0.33333333333333331</v>
      </c>
    </row>
    <row r="265" spans="1:3" x14ac:dyDescent="0.25">
      <c r="A265" s="3" t="s">
        <v>185</v>
      </c>
      <c r="B265" s="3">
        <f>COUNTIF(Hospital_Data!$G$2:$G$1000,A265)</f>
        <v>7</v>
      </c>
      <c r="C265" s="14">
        <f>IFERROR(B265/SUM($B$263:$B$267),0)</f>
        <v>0.19444444444444445</v>
      </c>
    </row>
    <row r="266" spans="1:3" x14ac:dyDescent="0.25">
      <c r="A266" s="3" t="s">
        <v>351</v>
      </c>
      <c r="B266" s="3">
        <f>COUNTIF(Hospital_Data!$G$2:$G$1000,A266)</f>
        <v>4</v>
      </c>
      <c r="C266" s="14">
        <f>IFERROR(B266/SUM($B$263:$B$267),0)</f>
        <v>0.1111111111111111</v>
      </c>
    </row>
    <row r="267" spans="1:3" x14ac:dyDescent="0.25">
      <c r="A267" s="3" t="s">
        <v>377</v>
      </c>
      <c r="B267" s="3">
        <f>COUNTIF(Hospital_Data!$G$2:$G$1000,A267)</f>
        <v>3</v>
      </c>
      <c r="C267" s="14">
        <f>IFERROR(B267/SUM($B$263:$B$267),0)</f>
        <v>8.3333333333333329E-2</v>
      </c>
    </row>
    <row r="277" spans="1:3" x14ac:dyDescent="0.25">
      <c r="A277" s="4" t="s">
        <v>536</v>
      </c>
    </row>
    <row r="278" spans="1:3" x14ac:dyDescent="0.25">
      <c r="A278" s="13" t="s">
        <v>500</v>
      </c>
      <c r="B278" s="13" t="s">
        <v>501</v>
      </c>
      <c r="C278" s="13" t="s">
        <v>502</v>
      </c>
    </row>
    <row r="279" spans="1:3" x14ac:dyDescent="0.25">
      <c r="A279" s="3" t="s">
        <v>163</v>
      </c>
      <c r="B279" s="3">
        <f>COUNTIF(Hospital_Data!$J$2:$J$1000,A279)</f>
        <v>22</v>
      </c>
      <c r="C279" s="14">
        <f>IFERROR(B279/SUM($B$279:$B$281),0)</f>
        <v>0.61111111111111116</v>
      </c>
    </row>
    <row r="280" spans="1:3" x14ac:dyDescent="0.25">
      <c r="A280" s="3" t="s">
        <v>179</v>
      </c>
      <c r="B280" s="3">
        <f>COUNTIF(Hospital_Data!$J$2:$J$1000,A280)</f>
        <v>11</v>
      </c>
      <c r="C280" s="14">
        <f>IFERROR(B280/SUM($B$279:$B$281),0)</f>
        <v>0.30555555555555558</v>
      </c>
    </row>
    <row r="281" spans="1:3" x14ac:dyDescent="0.25">
      <c r="A281" s="3" t="s">
        <v>162</v>
      </c>
      <c r="B281" s="3">
        <f>COUNTIF(Hospital_Data!$J$2:$J$1000,A281)</f>
        <v>3</v>
      </c>
      <c r="C281" s="14">
        <f>IFERROR(B281/SUM($B$279:$B$281),0)</f>
        <v>8.3333333333333329E-2</v>
      </c>
    </row>
    <row r="291" spans="1:4" x14ac:dyDescent="0.25">
      <c r="A291" s="4" t="s">
        <v>508</v>
      </c>
    </row>
    <row r="292" spans="1:4" x14ac:dyDescent="0.25">
      <c r="A292" s="13" t="s">
        <v>44</v>
      </c>
      <c r="B292" s="13" t="s">
        <v>509</v>
      </c>
      <c r="C292" s="13" t="s">
        <v>510</v>
      </c>
      <c r="D292" s="13" t="s">
        <v>511</v>
      </c>
    </row>
    <row r="293" spans="1:4" x14ac:dyDescent="0.25">
      <c r="A293" s="3" t="s">
        <v>537</v>
      </c>
      <c r="B293" s="15">
        <f>IFERROR(AVERAGE(Hospital_Data!$D$2:$D$1000),0)</f>
        <v>2.75</v>
      </c>
      <c r="C293" s="14">
        <f>IFERROR(COUNTIF(Hospital_Data!$D$2:$D$1000,"&gt;=4")/COUNT(Hospital_Data!$D$2:$D$1000),0)</f>
        <v>0.22222222222222221</v>
      </c>
      <c r="D293" s="3">
        <f>COUNT(Hospital_Data!$D$2:$D$1000)</f>
        <v>36</v>
      </c>
    </row>
    <row r="294" spans="1:4" x14ac:dyDescent="0.25">
      <c r="A294" s="3" t="s">
        <v>538</v>
      </c>
      <c r="B294" s="15">
        <f>IFERROR(AVERAGE(Hospital_Data!$H$2:$H$1000),0)</f>
        <v>4.2777777777777777</v>
      </c>
      <c r="C294" s="14">
        <f>IFERROR(COUNTIF(Hospital_Data!$H$2:$H$1000,"&gt;=4")/COUNT(Hospital_Data!$H$2:$H$1000),0)</f>
        <v>0.83333333333333337</v>
      </c>
      <c r="D294" s="3">
        <f>COUNT(Hospital_Data!$H$2:$H$1000)</f>
        <v>36</v>
      </c>
    </row>
    <row r="295" spans="1:4" x14ac:dyDescent="0.25">
      <c r="A295" s="3" t="s">
        <v>539</v>
      </c>
      <c r="B295" s="15">
        <f>IFERROR(AVERAGE(Hospital_Data!$I$2:$I$1000),0)</f>
        <v>4.3055555555555554</v>
      </c>
      <c r="C295" s="14">
        <f>IFERROR(COUNTIF(Hospital_Data!$I$2:$I$1000,"&gt;=4")/COUNT(Hospital_Data!$I$2:$I$1000),0)</f>
        <v>0.83333333333333337</v>
      </c>
      <c r="D295" s="3">
        <f>COUNT(Hospital_Data!$I$2:$I$1000)</f>
        <v>36</v>
      </c>
    </row>
    <row r="308" spans="1:3" ht="16.5" x14ac:dyDescent="0.25">
      <c r="A308" s="12" t="s">
        <v>133</v>
      </c>
    </row>
    <row r="309" spans="1:3" x14ac:dyDescent="0.25">
      <c r="A309" s="4" t="s">
        <v>498</v>
      </c>
      <c r="B309" s="4">
        <f>COUNTA(Office_Data!$A$2:$A$1000)</f>
        <v>80</v>
      </c>
    </row>
    <row r="311" spans="1:3" x14ac:dyDescent="0.25">
      <c r="A311" s="4" t="s">
        <v>540</v>
      </c>
    </row>
    <row r="312" spans="1:3" x14ac:dyDescent="0.25">
      <c r="A312" s="13" t="s">
        <v>500</v>
      </c>
      <c r="B312" s="13" t="s">
        <v>501</v>
      </c>
      <c r="C312" s="13" t="s">
        <v>502</v>
      </c>
    </row>
    <row r="313" spans="1:3" x14ac:dyDescent="0.25">
      <c r="A313" s="3" t="s">
        <v>428</v>
      </c>
      <c r="B313" s="3">
        <f>COUNTIF(Office_Data!$B$2:$B$1000,A313)</f>
        <v>15</v>
      </c>
      <c r="C313" s="14">
        <f>IFERROR(B313/SUM($B$313:$B$316),0)</f>
        <v>0.1875</v>
      </c>
    </row>
    <row r="314" spans="1:3" x14ac:dyDescent="0.25">
      <c r="A314" s="3" t="s">
        <v>402</v>
      </c>
      <c r="B314" s="3">
        <f>COUNTIF(Office_Data!$B$2:$B$1000,A314)</f>
        <v>31</v>
      </c>
      <c r="C314" s="14">
        <f>IFERROR(B314/SUM($B$313:$B$316),0)</f>
        <v>0.38750000000000001</v>
      </c>
    </row>
    <row r="315" spans="1:3" x14ac:dyDescent="0.25">
      <c r="A315" s="3" t="s">
        <v>413</v>
      </c>
      <c r="B315" s="3">
        <f>COUNTIF(Office_Data!$B$2:$B$1000,A315)</f>
        <v>22</v>
      </c>
      <c r="C315" s="14">
        <f>IFERROR(B315/SUM($B$313:$B$316),0)</f>
        <v>0.27500000000000002</v>
      </c>
    </row>
    <row r="316" spans="1:3" x14ac:dyDescent="0.25">
      <c r="A316" s="3" t="s">
        <v>415</v>
      </c>
      <c r="B316" s="3">
        <f>COUNTIF(Office_Data!$B$2:$B$1000,A316)</f>
        <v>12</v>
      </c>
      <c r="C316" s="14">
        <f>IFERROR(B316/SUM($B$313:$B$316),0)</f>
        <v>0.15</v>
      </c>
    </row>
    <row r="326" spans="1:3" x14ac:dyDescent="0.25">
      <c r="A326" s="4" t="s">
        <v>541</v>
      </c>
    </row>
    <row r="327" spans="1:3" x14ac:dyDescent="0.25">
      <c r="A327" s="3" t="s">
        <v>519</v>
      </c>
      <c r="B327" s="15">
        <f>IFERROR(AVERAGE(Office_Data!$C$2:$C$1000),0)</f>
        <v>3.3624999999999998</v>
      </c>
    </row>
    <row r="328" spans="1:3" x14ac:dyDescent="0.25">
      <c r="A328" s="3" t="s">
        <v>520</v>
      </c>
      <c r="B328" s="15">
        <f>IFERROR(MEDIAN(Office_Data!$C$2:$C$1000),0)</f>
        <v>3</v>
      </c>
    </row>
    <row r="329" spans="1:3" x14ac:dyDescent="0.25">
      <c r="A329" s="3" t="s">
        <v>521</v>
      </c>
      <c r="B329" s="15">
        <f>IFERROR(MIN(Office_Data!$C$2:$C$1000),0)</f>
        <v>1</v>
      </c>
    </row>
    <row r="330" spans="1:3" x14ac:dyDescent="0.25">
      <c r="A330" s="3" t="s">
        <v>522</v>
      </c>
      <c r="B330" s="15">
        <f>IFERROR(MAX(Office_Data!$C$2:$C$1000),0)</f>
        <v>5</v>
      </c>
    </row>
    <row r="333" spans="1:3" x14ac:dyDescent="0.25">
      <c r="A333" s="4" t="s">
        <v>542</v>
      </c>
    </row>
    <row r="334" spans="1:3" x14ac:dyDescent="0.25">
      <c r="A334" s="13" t="s">
        <v>500</v>
      </c>
      <c r="B334" s="13" t="s">
        <v>501</v>
      </c>
      <c r="C334" s="13" t="s">
        <v>502</v>
      </c>
    </row>
    <row r="335" spans="1:3" x14ac:dyDescent="0.25">
      <c r="A335" s="3" t="s">
        <v>403</v>
      </c>
      <c r="B335" s="3">
        <f>COUNTIF(Office_Data!$D$2:$D$1000,A335)</f>
        <v>24</v>
      </c>
      <c r="C335" s="14">
        <f>IFERROR(B335/SUM($B$335:$B$339),0)</f>
        <v>0.3</v>
      </c>
    </row>
    <row r="336" spans="1:3" x14ac:dyDescent="0.25">
      <c r="A336" s="3" t="s">
        <v>411</v>
      </c>
      <c r="B336" s="3">
        <f>COUNTIF(Office_Data!$D$2:$D$1000,A336)</f>
        <v>11</v>
      </c>
      <c r="C336" s="14">
        <f>IFERROR(B336/SUM($B$335:$B$339),0)</f>
        <v>0.13750000000000001</v>
      </c>
    </row>
    <row r="337" spans="1:3" x14ac:dyDescent="0.25">
      <c r="A337" s="3" t="s">
        <v>407</v>
      </c>
      <c r="B337" s="3">
        <f>COUNTIF(Office_Data!$D$2:$D$1000,A337)</f>
        <v>17</v>
      </c>
      <c r="C337" s="14">
        <f>IFERROR(B337/SUM($B$335:$B$339),0)</f>
        <v>0.21249999999999999</v>
      </c>
    </row>
    <row r="338" spans="1:3" x14ac:dyDescent="0.25">
      <c r="A338" s="3" t="s">
        <v>423</v>
      </c>
      <c r="B338" s="3">
        <f>COUNTIF(Office_Data!$D$2:$D$1000,A338)</f>
        <v>15</v>
      </c>
      <c r="C338" s="14">
        <f>IFERROR(B338/SUM($B$335:$B$339),0)</f>
        <v>0.1875</v>
      </c>
    </row>
    <row r="339" spans="1:3" x14ac:dyDescent="0.25">
      <c r="A339" s="3" t="s">
        <v>409</v>
      </c>
      <c r="B339" s="3">
        <f>COUNTIF(Office_Data!$D$2:$D$1000,A339)</f>
        <v>13</v>
      </c>
      <c r="C339" s="14">
        <f>IFERROR(B339/SUM($B$335:$B$339),0)</f>
        <v>0.16250000000000001</v>
      </c>
    </row>
    <row r="349" spans="1:3" x14ac:dyDescent="0.25">
      <c r="A349" s="4" t="s">
        <v>543</v>
      </c>
    </row>
    <row r="350" spans="1:3" x14ac:dyDescent="0.25">
      <c r="A350" s="13" t="s">
        <v>500</v>
      </c>
      <c r="B350" s="13" t="s">
        <v>501</v>
      </c>
      <c r="C350" s="13" t="s">
        <v>502</v>
      </c>
    </row>
    <row r="351" spans="1:3" x14ac:dyDescent="0.25">
      <c r="A351" s="3" t="s">
        <v>196</v>
      </c>
      <c r="B351" s="3">
        <f>COUNTIF(Office_Data!$F$2:$F$1000,A351)</f>
        <v>7</v>
      </c>
      <c r="C351" s="14">
        <f>IFERROR(B351/SUM($B$351:$B$355),0)</f>
        <v>8.7499999999999994E-2</v>
      </c>
    </row>
    <row r="352" spans="1:3" x14ac:dyDescent="0.25">
      <c r="A352" s="3" t="s">
        <v>170</v>
      </c>
      <c r="B352" s="3">
        <f>COUNTIF(Office_Data!$F$2:$F$1000,A352)</f>
        <v>12</v>
      </c>
      <c r="C352" s="14">
        <f>IFERROR(B352/SUM($B$351:$B$355),0)</f>
        <v>0.15</v>
      </c>
    </row>
    <row r="353" spans="1:3" x14ac:dyDescent="0.25">
      <c r="A353" s="3" t="s">
        <v>160</v>
      </c>
      <c r="B353" s="3">
        <f>COUNTIF(Office_Data!$F$2:$F$1000,A353)</f>
        <v>27</v>
      </c>
      <c r="C353" s="14">
        <f>IFERROR(B353/SUM($B$351:$B$355),0)</f>
        <v>0.33750000000000002</v>
      </c>
    </row>
    <row r="354" spans="1:3" x14ac:dyDescent="0.25">
      <c r="A354" s="3" t="s">
        <v>167</v>
      </c>
      <c r="B354" s="3">
        <f>COUNTIF(Office_Data!$F$2:$F$1000,A354)</f>
        <v>19</v>
      </c>
      <c r="C354" s="14">
        <f>IFERROR(B354/SUM($B$351:$B$355),0)</f>
        <v>0.23749999999999999</v>
      </c>
    </row>
    <row r="355" spans="1:3" x14ac:dyDescent="0.25">
      <c r="A355" s="3" t="s">
        <v>329</v>
      </c>
      <c r="B355" s="3">
        <f>COUNTIF(Office_Data!$F$2:$F$1000,A355)</f>
        <v>15</v>
      </c>
      <c r="C355" s="14">
        <f>IFERROR(B355/SUM($B$351:$B$355),0)</f>
        <v>0.1875</v>
      </c>
    </row>
    <row r="365" spans="1:3" x14ac:dyDescent="0.25">
      <c r="A365" s="4" t="s">
        <v>544</v>
      </c>
    </row>
    <row r="366" spans="1:3" x14ac:dyDescent="0.25">
      <c r="A366" s="13" t="s">
        <v>500</v>
      </c>
      <c r="B366" s="13" t="s">
        <v>501</v>
      </c>
      <c r="C366" s="13" t="s">
        <v>502</v>
      </c>
    </row>
    <row r="367" spans="1:3" x14ac:dyDescent="0.25">
      <c r="A367" s="3" t="s">
        <v>163</v>
      </c>
      <c r="B367" s="3">
        <f>COUNTIF(Office_Data!$G$2:$G$1000,A367)</f>
        <v>51</v>
      </c>
      <c r="C367" s="14">
        <f>IFERROR(B367/SUM($B$367:$B$369),0)</f>
        <v>0.63749999999999996</v>
      </c>
    </row>
    <row r="368" spans="1:3" x14ac:dyDescent="0.25">
      <c r="A368" s="3" t="s">
        <v>179</v>
      </c>
      <c r="B368" s="3">
        <f>COUNTIF(Office_Data!$G$2:$G$1000,A368)</f>
        <v>18</v>
      </c>
      <c r="C368" s="14">
        <f>IFERROR(B368/SUM($B$367:$B$369),0)</f>
        <v>0.22500000000000001</v>
      </c>
    </row>
    <row r="369" spans="1:3" x14ac:dyDescent="0.25">
      <c r="A369" s="3" t="s">
        <v>162</v>
      </c>
      <c r="B369" s="3">
        <f>COUNTIF(Office_Data!$G$2:$G$1000,A369)</f>
        <v>11</v>
      </c>
      <c r="C369" s="14">
        <f>IFERROR(B369/SUM($B$367:$B$369),0)</f>
        <v>0.13750000000000001</v>
      </c>
    </row>
    <row r="379" spans="1:3" x14ac:dyDescent="0.25">
      <c r="A379" s="4" t="s">
        <v>545</v>
      </c>
    </row>
    <row r="380" spans="1:3" x14ac:dyDescent="0.25">
      <c r="A380" s="13" t="s">
        <v>500</v>
      </c>
      <c r="B380" s="13" t="s">
        <v>501</v>
      </c>
      <c r="C380" s="13" t="s">
        <v>502</v>
      </c>
    </row>
    <row r="381" spans="1:3" x14ac:dyDescent="0.25">
      <c r="A381" s="3" t="s">
        <v>163</v>
      </c>
      <c r="B381" s="3">
        <f>COUNTIF(Office_Data!$I$2:$I$1000,A381)</f>
        <v>10</v>
      </c>
      <c r="C381" s="14">
        <f>IFERROR(B381/SUM($B$381:$B$383),0)</f>
        <v>0.125</v>
      </c>
    </row>
    <row r="382" spans="1:3" x14ac:dyDescent="0.25">
      <c r="A382" s="3" t="s">
        <v>404</v>
      </c>
      <c r="B382" s="3">
        <f>COUNTIF(Office_Data!$I$2:$I$1000,A382)</f>
        <v>45</v>
      </c>
      <c r="C382" s="14">
        <f>IFERROR(B382/SUM($B$381:$B$383),0)</f>
        <v>0.5625</v>
      </c>
    </row>
    <row r="383" spans="1:3" x14ac:dyDescent="0.25">
      <c r="A383" s="3" t="s">
        <v>162</v>
      </c>
      <c r="B383" s="3">
        <f>COUNTIF(Office_Data!$I$2:$I$1000,A383)</f>
        <v>25</v>
      </c>
      <c r="C383" s="14">
        <f>IFERROR(B383/SUM($B$381:$B$383),0)</f>
        <v>0.3125</v>
      </c>
    </row>
    <row r="393" spans="1:2" x14ac:dyDescent="0.25">
      <c r="A393" s="4" t="s">
        <v>546</v>
      </c>
    </row>
    <row r="394" spans="1:2" x14ac:dyDescent="0.25">
      <c r="A394" s="3" t="s">
        <v>519</v>
      </c>
      <c r="B394" s="15">
        <f>IFERROR(AVERAGE(Office_Data!$J$2:$J$1000),0)</f>
        <v>10.3125</v>
      </c>
    </row>
    <row r="395" spans="1:2" x14ac:dyDescent="0.25">
      <c r="A395" s="3" t="s">
        <v>520</v>
      </c>
      <c r="B395" s="15">
        <f>IFERROR(MEDIAN(Office_Data!$J$2:$J$1000),0)</f>
        <v>10</v>
      </c>
    </row>
    <row r="396" spans="1:2" x14ac:dyDescent="0.25">
      <c r="A396" s="3" t="s">
        <v>521</v>
      </c>
      <c r="B396" s="15">
        <f>IFERROR(MIN(Office_Data!$J$2:$J$1000),0)</f>
        <v>2</v>
      </c>
    </row>
    <row r="397" spans="1:2" x14ac:dyDescent="0.25">
      <c r="A397" s="3" t="s">
        <v>522</v>
      </c>
      <c r="B397" s="15">
        <f>IFERROR(MAX(Office_Data!$J$2:$J$1000),0)</f>
        <v>21</v>
      </c>
    </row>
    <row r="400" spans="1:2" x14ac:dyDescent="0.25">
      <c r="A400" s="4" t="s">
        <v>508</v>
      </c>
    </row>
    <row r="401" spans="1:4" x14ac:dyDescent="0.25">
      <c r="A401" s="13" t="s">
        <v>44</v>
      </c>
      <c r="B401" s="13" t="s">
        <v>509</v>
      </c>
      <c r="C401" s="13" t="s">
        <v>510</v>
      </c>
      <c r="D401" s="13" t="s">
        <v>511</v>
      </c>
    </row>
    <row r="402" spans="1:4" x14ac:dyDescent="0.25">
      <c r="A402" s="3" t="s">
        <v>547</v>
      </c>
      <c r="B402" s="15">
        <f>IFERROR(AVERAGE(Office_Data!$E$2:$E$1000),0)</f>
        <v>2.15</v>
      </c>
      <c r="C402" s="14">
        <f>IFERROR(COUNTIF(Office_Data!$E$2:$E$1000,"&gt;=4")/COUNT(Office_Data!$E$2:$E$1000),0)</f>
        <v>0.15</v>
      </c>
      <c r="D402" s="3">
        <f>COUNT(Office_Data!$E$2:$E$1000)</f>
        <v>80</v>
      </c>
    </row>
    <row r="403" spans="1:4" x14ac:dyDescent="0.25">
      <c r="A403" s="3" t="s">
        <v>548</v>
      </c>
      <c r="B403" s="15">
        <f>IFERROR(AVERAGE(Office_Data!$H$2:$H$1000),0)</f>
        <v>3.7250000000000001</v>
      </c>
      <c r="C403" s="14">
        <f>IFERROR(COUNTIF(Office_Data!$H$2:$H$1000,"&gt;=4")/COUNT(Office_Data!$H$2:$H$1000),0)</f>
        <v>0.61250000000000004</v>
      </c>
      <c r="D403" s="3">
        <f>COUNT(Office_Data!$H$2:$H$1000)</f>
        <v>80</v>
      </c>
    </row>
    <row r="416" spans="1:4" ht="16.5" x14ac:dyDescent="0.25">
      <c r="A416" s="12" t="s">
        <v>549</v>
      </c>
    </row>
    <row r="417" spans="1:2" x14ac:dyDescent="0.25">
      <c r="A417" s="3" t="s">
        <v>550</v>
      </c>
      <c r="B417" s="15">
        <f>IFERROR(AVERAGEIFS(Students_Data!$I$2:$I$1000,Students_Data!$B$2:$B$1000,"Secondary school"),0)</f>
        <v>3.8676470588235294</v>
      </c>
    </row>
    <row r="418" spans="1:2" x14ac:dyDescent="0.25">
      <c r="A418" s="3" t="s">
        <v>551</v>
      </c>
      <c r="B418" s="15">
        <f>IFERROR(AVERAGEIFS(Students_Data!$I$2:$I$1000,Students_Data!$B$2:$B$1000,"University"),0)</f>
        <v>3.4615384615384617</v>
      </c>
    </row>
    <row r="419" spans="1:2" x14ac:dyDescent="0.25">
      <c r="A419" s="3" t="s">
        <v>552</v>
      </c>
      <c r="B419" s="14">
        <f>IFERROR(COUNTIFS(Students_Data!$F$2:$F$1000,"Yes",Students_Data!$B$2:$B$1000,"Secondary school")/COUNTIF(Students_Data!$B$2:$B$1000,"Secondary school"),0)</f>
        <v>0.39705882352941174</v>
      </c>
    </row>
    <row r="420" spans="1:2" x14ac:dyDescent="0.25">
      <c r="A420" s="3" t="s">
        <v>553</v>
      </c>
      <c r="B420" s="14">
        <f>IFERROR(COUNTIFS(Students_Data!$F$2:$F$1000,"Yes",Students_Data!$B$2:$B$1000,"University")/COUNTIF(Students_Data!$B$2:$B$1000,"University"),0)</f>
        <v>0.15384615384615385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Key_Findings</vt:lpstr>
      <vt:lpstr>Questionnaires</vt:lpstr>
      <vt:lpstr>Students_Data</vt:lpstr>
      <vt:lpstr>Kitchen_Data</vt:lpstr>
      <vt:lpstr>Hospital_Data</vt:lpstr>
      <vt:lpstr>Office_Data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Jiwoo Ha</cp:lastModifiedBy>
  <dcterms:created xsi:type="dcterms:W3CDTF">2026-10-01T15:53:46Z</dcterms:created>
  <dcterms:modified xsi:type="dcterms:W3CDTF">2026-10-01T15:54:03Z</dcterms:modified>
</cp:coreProperties>
</file>